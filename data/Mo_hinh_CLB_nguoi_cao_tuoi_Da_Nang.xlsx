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7.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worksheets/sheet8.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046d74b8a9c148fc" /></Relationships>
</file>

<file path=xl/workbook.xml><?xml version="1.0" encoding="utf-8"?>
<x:workbook xmlns:x="http://schemas.openxmlformats.org/spreadsheetml/2006/main">
  <x:sheets>
    <x:sheet xmlns:r="http://schemas.openxmlformats.org/officeDocument/2006/relationships" name="Tong_quan" sheetId="1" r:id="R3ee4610f605442a6"/>
    <x:sheet xmlns:r="http://schemas.openxmlformats.org/officeDocument/2006/relationships" name="Gia_dinh" sheetId="2" r:id="Rab7d5b7c0b67453f"/>
    <x:sheet xmlns:r="http://schemas.openxmlformats.org/officeDocument/2006/relationships" name="CLB" sheetId="3" r:id="R870eecd9a7484424"/>
    <x:sheet xmlns:r="http://schemas.openxmlformats.org/officeDocument/2006/relationships" name="Ban_ngay_DK" sheetId="4" r:id="R8689013d25414978"/>
    <x:sheet xmlns:r="http://schemas.openxmlformats.org/officeDocument/2006/relationships" name="Dong_tien_12T" sheetId="5" r:id="R026a955ea8574608"/>
    <x:sheet xmlns:r="http://schemas.openxmlformats.org/officeDocument/2006/relationships" name="Do_nhay" sheetId="6" r:id="Race0b83015fc4319"/>
    <x:sheet xmlns:r="http://schemas.openxmlformats.org/officeDocument/2006/relationships" name="Von_dau_tu" sheetId="7" r:id="R1c7918920f564e93"/>
    <x:sheet xmlns:r="http://schemas.openxmlformats.org/officeDocument/2006/relationships" name="Nguon" sheetId="8" r:id="R4a5bcd4075bd41f2"/>
  </x:sheets>
</x:workbook>
</file>

<file path=xl/comments1.xml><?xml version="1.0" encoding="utf-8"?>
<x:comments xmlns:x="http://schemas.openxmlformats.org/spreadsheetml/2006/main">
  <x:authors>
    <x:author>tc={71B3828B-FDB8-E9BF-D870-850DC406483D}</x:author>
    <x:author>tc={2CDC36D9-D32C-C530-14B2-C9637B1044DF}</x:author>
    <x:author>tc={9A9E5A7C-BC73-41A9-CA81-E02163223562}</x:author>
    <x:author>tc={38EBFEAB-68A2-FD25-EA80-FD0275FC4C8F}</x:author>
    <x:author>tc={6D9445BE-008A-47E9-771C-78C15356F535}</x:author>
    <x:author>tc={DFD4A3CA-4FD7-E041-6FBA-3A4860835290}</x:author>
    <x:author>tc={EA354061-4D0A-971F-0BCB-BED82DF5CBED}</x:author>
    <x:author>tc={9146AC1F-B9B7-C044-25D7-BF1FB4F56928}</x:author>
    <x:author>tc={179C44A0-FE0A-83C0-5486-3BA6369A77BE}</x:author>
    <x:author>tc={6B032B20-03B1-EB30-3967-024D105DDF9F}</x:author>
    <x:author>tc={B712F2CA-D255-7E7D-584A-199B191797A4}</x:author>
    <x:author>tc={D2F82C32-9265-FB9C-28FF-8D4420B473E5}</x:author>
    <x:author>tc={026E6F1D-866C-11E1-B406-12F9701C2A65}</x:author>
    <x:author>tc={F19B92C6-3AA9-28FB-3E58-539A7E6C0F95}</x:author>
    <x:author>tc={8B8637ED-485F-9C97-A003-68D65816DDE2}</x:author>
    <x:author>tc={2CB67742-A758-F571-5058-B2934D65A873}</x:author>
    <x:author>tc={AA11EB59-B93E-A854-0EB5-5B6DC97A3B96}</x:author>
    <x:author>tc={E2230D33-E66A-88AE-0FAF-0CB780FFA2B1}</x:author>
    <x:author>tc={EF9E3C1C-25C9-0BF5-9B17-B3A6CBB02A72}</x:author>
    <x:author>tc={44C4C1C2-3FC4-BF1E-B80D-557B9C0EEFEA}</x:author>
    <x:author>tc={3D911380-C8C6-F59B-001E-7A428DE53AFC}</x:author>
    <x:author>tc={E222D988-BDDD-F5FA-C401-CB231EDC9999}</x:author>
    <x:author>tc={CCA734E2-3816-0D89-C7A0-7BF25D98423A}</x:author>
    <x:author>tc={B8AAE1E6-1A9C-ABEC-A0C0-F8088B72D709}</x:author>
    <x:author>tc={5BE3DE8F-0823-D3FE-49C2-A8361AB13521}</x:author>
    <x:author>tc={CD5205B5-CF36-7529-9380-FB400C18A508}</x:author>
    <x:author>tc={C9F088B2-3C27-8BE9-57C6-4EE775BA33FA}</x:author>
    <x:author>tc={CE4D8851-30E1-B782-F679-4FEF64DBFDCC}</x:author>
    <x:author>tc={EAA5042F-0ADB-E993-2072-9C951E537122}</x:author>
    <x:author>tc={CD3E7F4D-D859-2540-497D-03FA9045AEFD}</x:author>
    <x:author>tc={5B1B95D5-9915-35CC-1D64-F47EB9708061}</x:author>
    <x:author>tc={D3103060-6B9A-B382-6D99-5EBEF5B8D3E1}</x:author>
    <x:author>tc={E02B7D5E-7FD7-7DBA-2879-00F25E493046}</x:author>
    <x:author>tc={2343AA3A-4D3A-552F-7D1B-67C0C613C287}</x:author>
    <x:author>tc={57BEEC4A-EED8-81AF-27F7-9D34C526F9E3}</x:author>
    <x:author>tc={A36FEB66-FDAD-645B-DD1B-BA686A945FB0}</x:author>
    <x:author>tc={14B7B415-28A0-7E22-1FD2-82E8E12FCE71}</x:author>
    <x:author>tc={3C1CCB59-4A34-E4CC-4C31-C0DA20885E79}</x:author>
    <x:author>tc={8A6337BD-0075-A0A0-ACFD-C8AC9D5FBF62}</x:author>
    <x:author>tc={D23D1B35-BE11-34E3-BD58-42268ED3AD66}</x:author>
    <x:author>tc={30062BCC-AB40-91FD-9A76-C727A400342D}</x:author>
    <x:author>tc={BCF040A4-6080-70AE-332A-9408E1A37DF3}</x:author>
    <x:author>tc={D131D8C8-9B16-5C58-EB79-EB00692A3FEB}</x:author>
    <x:author>tc={4DB5AE78-8B4E-A924-C94E-7FD427D5A064}</x:author>
    <x:author>tc={7E8029F3-6D36-90F5-B59C-073F47BAA01B}</x:author>
    <x:author>tc={A2D80214-64FC-8DEC-0AA4-ADAA9F54F502}</x:author>
    <x:author>tc={BC3E03CF-1B94-4FF6-50F6-C3F9C79177FC}</x:author>
    <x:author>tc={DB340DB8-F411-056E-85B0-6F563CA1E119}</x:author>
    <x:author>tc={15A1E813-FDB4-2B6A-D5B9-41BD1612B19A}</x:author>
    <x:author>tc={9137C5A0-53DA-9017-94CF-89CC8ECE4B65}</x:author>
    <x:author>tc={6FD71F2E-8926-78C3-69FA-A6A130AE13D5}</x:author>
    <x:author>tc={6CC0C373-03AE-27A1-0C30-6CE254DCFE11}</x:author>
    <x:author>tc={EF71EE96-886F-7EFA-9DDD-71352F743280}</x:author>
    <x:author>tc={5C49A6A6-3661-6E94-9183-0D13BAAB7BEF}</x:author>
    <x:author>tc={EAE3471E-C16F-8531-6D61-A2946C1C148F}</x:author>
    <x:author>tc={69F69199-E933-9EF3-6881-7E0C2153078C}</x:author>
    <x:author>tc={D5F70904-5417-AA2B-241E-1C428269E646}</x:author>
    <x:author>tc={938F1AC6-4C14-71AE-A54D-0297AD7679C5}</x:author>
    <x:author>tc={D8DABD5C-5C2E-E250-A706-AC0E1DB47BE8}</x:author>
    <x:author>tc={3A824F3B-2A5E-26E9-EC61-C35986B9F9CD}</x:author>
    <x:author>tc={5D194A6C-AF7B-652E-4212-F0F8399103B4}</x:author>
    <x:author>tc={FF443BF2-FEFF-3116-A52C-BA952C6D5341}</x:author>
    <x:author>tc={34CA8C30-5238-E397-4E34-EF0AEDD44BAF}</x:author>
    <x:author>tc={7CD55B95-FD47-946A-EC48-EC66644EC9CF}</x:author>
    <x:author>tc={0A37DDA8-9E8C-E79E-5679-70B6754AA331}</x:author>
    <x:author>tc={204D2071-9F14-C8D0-EC11-9BE208C321B0}</x:author>
    <x:author>tc={04C87C9B-324E-CF0C-75E0-B58C50D0CEE3}</x:author>
    <x:author>tc={0D821A4A-BF42-177A-604C-F22FEB4B525C}</x:author>
    <x:author>tc={BF1CB2EC-1CDB-2041-B29B-F2B133D66084}</x:author>
    <x:author>tc={DB901F11-DF8C-0AEF-85B4-99EE6B968A2C}</x:author>
    <x:author>tc={296D6600-59C3-E6BC-029E-BFE377F69AE7}</x:author>
    <x:author>tc={09B391E8-1E28-5894-8B9A-ABEBBAD1C0C4}</x:author>
    <x:author>tc={4A53AE7F-825E-EA77-9FA3-CD106041C711}</x:author>
    <x:author>tc={5E2A76A9-9F29-0B18-0EBC-24F94757AFBC}</x:author>
    <x:author>tc={39FA8D36-4615-7F0F-D1C7-D26DABE0E5DB}</x:author>
    <x:author>tc={810327CB-6F50-9644-8001-7D0799587341}</x:author>
    <x:author>tc={D81539A6-A488-9AC0-7538-88E5F4465C3E}</x:author>
    <x:author>tc={BA3BA4BC-FC15-C748-0B4F-771B352980E4}</x:author>
    <x:author>tc={8C3BAD81-4DE0-EC0A-2E0D-FF2CBDF2289B}</x:author>
    <x:author>tc={D068C696-1EBF-DD6E-91B6-00FAD050298E}</x:author>
    <x:author>tc={E0FFAD37-9DFF-EDA8-8B67-7EFE95EBACB2}</x:author>
    <x:author>tc={E51AB60B-F7ED-C12F-732C-026B605D42A5}</x:author>
    <x:author>tc={1A0B804F-AD37-4AE3-D706-EF7F0DC45182}</x:author>
    <x:author>tc={8B9EC4C7-0CA4-97DC-90B3-E56081701142}</x:author>
    <x:author>tc={241E2CD3-B58E-27F9-CDC0-331DC7B84858}</x:author>
  </x:authors>
  <x:commentList>
    <x:comment ref="C5" authorId="0">
      <x:text>
        <x:r>
          <x:t>[Threaded comment]
Your version of Excel allows you to read this threaded comment; however, any edits to it will get removed if the file is opened in a newer version of Excel. Learn more: https://go.microsoft.com/fwlink/?linkid=870924
Comment:
    Nguồn: giả định lập kế hoạch, không phải báo giá hoặc thống kê thị trường. Giả định vận hành 6 ngày/tuần; chưa tính mùa thấp điểm.</x:t>
        </x:r>
      </x:text>
    </x:comment>
    <x:comment ref="C6" authorId="1">
      <x:text>
        <x:r>
          <x:t>[Threaded comment]
Your version of Excel allows you to read this threaded comment; however, any edits to it will get removed if the file is opened in a newer version of Excel. Learn more: https://go.microsoft.com/fwlink/?linkid=870924
Comment:
    Nguồn: giả định lập kế hoạch, không phải báo giá hoặc thống kê thị trường. Khung vận hành; không có lưu trú qua đêm.</x:t>
        </x:r>
      </x:text>
    </x:comment>
    <x:comment ref="C7" authorId="2">
      <x:text>
        <x:r>
          <x:t>[Threaded comment]
Your version of Excel allows you to read this threaded comment; however, any edits to it will get removed if the file is opened in a newer version of Excel. Learn more: https://go.microsoft.com/fwlink/?linkid=870924
Comment:
    Nguồn: giả định lập kế hoạch, không phải báo giá hoặc thống kê thị trường. Giả định: 50% gói 1,2 triệu; 50% gói 2,0 triệu. Chưa kiểm chứng giá.</x:t>
        </x:r>
      </x:text>
    </x:comment>
    <x:comment ref="C8" authorId="3">
      <x:text>
        <x:r>
          <x:t>[Threaded comment]
Your version of Excel allows you to read this threaded comment; however, any edits to it will get removed if the file is opened in a newer version of Excel. Learn more: https://go.microsoft.com/fwlink/?linkid=870924
Comment:
    Nguồn: giả định lập kế hoạch, không phải báo giá hoặc thống kê thị trường. 50% gói 8 lượt; 50% gói 12 lượt. Tính dùng hết quyền lợi.</x:t>
        </x:r>
      </x:text>
    </x:comment>
    <x:comment ref="C9" authorId="4">
      <x:text>
        <x:r>
          <x:t>[Threaded comment]
Your version of Excel allows you to read this threaded comment; however, any edits to it will get removed if the file is opened in a newer version of Excel. Learn more: https://go.microsoft.com/fwlink/?linkid=870924
Comment:
    Nguồn: giả định lập kế hoạch, không phải báo giá hoặc thống kê thị trường. Không bán quyền đến không giới hạn.</x:t>
        </x:r>
      </x:text>
    </x:comment>
    <x:comment ref="C10" authorId="5">
      <x:text>
        <x:r>
          <x:t>[Threaded comment]
Your version of Excel allows you to read this threaded comment; however, any edits to it will get removed if the file is opened in a newer version of Excel. Learn more: https://go.microsoft.com/fwlink/?linkid=870924
Comment:
    Nguồn: giả định lập kế hoạch, không phải báo giá hoặc thống kê thị trường. Trà, vật tư, vệ sinh; nhân sự và giáo viên đã nằm trong quỹ nhân sự.</x:t>
        </x:r>
      </x:text>
    </x:comment>
    <x:comment ref="C11" authorId="6">
      <x:text>
        <x:r>
          <x:t>[Threaded comment]
Your version of Excel allows you to read this threaded comment; however, any edits to it will get removed if the file is opened in a newer version of Excel. Learn more: https://go.microsoft.com/fwlink/?linkid=870924
Comment:
    Nguồn: giả định lập kế hoạch, không phải báo giá hoặc thống kê thị trường. Phương án có điều kiện: 50% gói 4,2 triệu; 50% gói 6,8 triệu.</x:t>
        </x:r>
      </x:text>
    </x:comment>
    <x:comment ref="C12" authorId="7">
      <x:text>
        <x:r>
          <x:t>[Threaded comment]
Your version of Excel allows you to read this threaded comment; however, any edits to it will get removed if the file is opened in a newer version of Excel. Learn more: https://go.microsoft.com/fwlink/?linkid=870924
Comment:
    Nguồn: giả định lập kế hoạch, không phải báo giá hoặc thống kê thị trường. Trung bình gói 12 và 20 ngày; khách này không tính thêm hội viên CLB.</x:t>
        </x:r>
      </x:text>
    </x:comment>
    <x:comment ref="C13" authorId="8">
      <x:text>
        <x:r>
          <x:t>[Threaded comment]
Your version of Excel allows you to read this threaded comment; however, any edits to it will get removed if the file is opened in a newer version of Excel. Learn more: https://go.microsoft.com/fwlink/?linkid=870924
Comment:
    Nguồn: giả định lập kế hoạch, không phải báo giá hoặc thống kê thị trường. Giả định thử tài chính, không xác nhận điều kiện tiếp nhận.</x:t>
        </x:r>
      </x:text>
    </x:comment>
    <x:comment ref="C14" authorId="9">
      <x:text>
        <x:r>
          <x:t>[Threaded comment]
Your version of Excel allows you to read this threaded comment; however, any edits to it will get removed if the file is opened in a newer version of Excel. Learn more: https://go.microsoft.com/fwlink/?linkid=870924
Comment:
    Nguồn: giả định lập kế hoạch, không phải báo giá hoặc thống kê thị trường. Bữa ăn và tiêu hao cơ bản; chưa gồm vận chuyển và chăm sóc chuyên biệt.</x:t>
        </x:r>
      </x:text>
    </x:comment>
    <x:comment ref="C15" authorId="10">
      <x:text>
        <x:r>
          <x:t>[Threaded comment]
Your version of Excel allows you to read this threaded comment; however, any edits to it will get removed if the file is opened in a newer version of Excel. Learn more: https://go.microsoft.com/fwlink/?linkid=870924
Comment:
    Nguồn: giả định lập kế hoạch, không phải báo giá hoặc thống kê thị trường. Lớp chuyên đề / dịch vụ bổ sung; chưa có hợp đồng doanh thu.</x:t>
        </x:r>
      </x:text>
    </x:comment>
    <x:comment ref="C16" authorId="11">
      <x:text>
        <x:r>
          <x:t>[Threaded comment]
Your version of Excel allows you to read this threaded comment; however, any edits to it will get removed if the file is opened in a newer version of Excel. Learn more: https://go.microsoft.com/fwlink/?linkid=870924
Comment:
    Nguồn: giả định lập kế hoạch, không phải báo giá hoặc thống kê thị trường. Chưa có báo giá. Phải thay bằng hợp đồng thực tế, gồm phí quản lý.</x:t>
        </x:r>
      </x:text>
    </x:comment>
    <x:comment ref="C17" authorId="12">
      <x:text>
        <x:r>
          <x:t>[Threaded comment]
Your version of Excel allows you to read this threaded comment; however, any edits to it will get removed if the file is opened in a newer version of Excel. Learn more: https://go.microsoft.com/fwlink/?linkid=870924
Comment:
    Nguồn: giả định lập kế hoạch, không phải báo giá hoặc thống kê thị trường. Dự toán nội bộ, cần kiểm tra hệ điều hòa và đồng hồ riêng.</x:t>
        </x:r>
      </x:text>
    </x:comment>
    <x:comment ref="C18" authorId="13">
      <x:text>
        <x:r>
          <x:t>[Threaded comment]
Your version of Excel allows you to read this threaded comment; however, any edits to it will get removed if the file is opened in a newer version of Excel. Learn more: https://go.microsoft.com/fwlink/?linkid=870924
Comment:
    Nguồn: giả định lập kế hoạch, không phải báo giá hoặc thống kê thị trường. Không gồm nhân sự đã tính trong payroll.</x:t>
        </x:r>
      </x:text>
    </x:comment>
    <x:comment ref="C19" authorId="14">
      <x:text>
        <x:r>
          <x:t>[Threaded comment]
Your version of Excel allows you to read this threaded comment; however, any edits to it will get removed if the file is opened in a newer version of Excel. Learn more: https://go.microsoft.com/fwlink/?linkid=870924
Comment:
    Nguồn: giả định lập kế hoạch, không phải báo giá hoặc thống kê thị trường. Cần báo giá bảo hiểm và dịch vụ kế toán theo phạm vi hoạt động.</x:t>
        </x:r>
      </x:text>
    </x:comment>
    <x:comment ref="C20" authorId="15">
      <x:text>
        <x:r>
          <x:t>[Threaded comment]
Your version of Excel allows you to read this threaded comment; however, any edits to it will get removed if the file is opened in a newer version of Excel. Learn more: https://go.microsoft.com/fwlink/?linkid=870924
Comment:
    Nguồn: giả định lập kế hoạch, không phải báo giá hoặc thống kê thị trường. Không thay thế dự phòng đầu tư ban đầu.</x:t>
        </x:r>
      </x:text>
    </x:comment>
    <x:comment ref="C22" authorId="16">
      <x:text>
        <x:r>
          <x:t>[Threaded comment]
Your version of Excel allows you to read this threaded comment; however, any edits to it will get removed if the file is opened in a newer version of Excel. Learn more: https://go.microsoft.com/fwlink/?linkid=870924
Comment:
    Nguồn: giả định lập kế hoạch, không phải báo giá hoặc thống kê thị trường. Chỉ để mô phỏng. Giới hạn thật do thiết kế, PCCC, nhân sự và thoát nạn quyết định.</x:t>
        </x:r>
      </x:text>
    </x:comment>
    <x:comment ref="C23" authorId="17">
      <x:text>
        <x:r>
          <x:t>[Threaded comment]
Your version of Excel allows you to read this threaded comment; however, any edits to it will get removed if the file is opened in a newer version of Excel. Learn more: https://go.microsoft.com/fwlink/?linkid=870924
Comment:
    Nguồn: giả định lập kế hoạch, không phải báo giá hoặc thống kê thị trường. Chỉ giả định kinh tế. Chưa thẩm định pháp lý, diện tích hay sơ tán ở tầng 5.</x:t>
        </x:r>
      </x:text>
    </x:comment>
    <x:comment ref="C24" authorId="18">
      <x:text>
        <x:r>
          <x:t>[Threaded comment]
Your version of Excel allows you to read this threaded comment; however, any edits to it will get removed if the file is opened in a newer version of Excel. Learn more: https://go.microsoft.com/fwlink/?linkid=870924
Comment:
    Nguồn: giả định lập kế hoạch, không phải báo giá hoặc thống kê thị trường. Giả định để thấy số khách mới cần bù; chưa có dữ liệu cohort.</x:t>
        </x:r>
      </x:text>
    </x:comment>
    <x:comment ref="C25" authorId="19">
      <x:text>
        <x:r>
          <x:t>[Threaded comment]
Your version of Excel allows you to read this threaded comment; however, any edits to it will get removed if the file is opened in a newer version of Excel. Learn more: https://go.microsoft.com/fwlink/?linkid=870924
Comment:
    Nguồn: giả định lập kế hoạch, không phải báo giá hoặc thống kê thị trường. Ngưỡng quản trị nội bộ; không phải quy định hay bảo đảm đủ vốn.</x:t>
        </x:r>
      </x:text>
    </x:comment>
    <x:comment ref="C26" authorId="20">
      <x:text>
        <x:r>
          <x:t>[Threaded comment]
Your version of Excel allows you to read this threaded comment; however, any edits to it will get removed if the file is opened in a newer version of Excel. Learn more: https://go.microsoft.com/fwlink/?linkid=870924
Comment:
    Nguồn: giả định lập kế hoạch, không phải báo giá hoặc thống kê thị trường. Giả định; cần điều khoản hoàn cọc nếu không đáp ứng điều kiện triển khai.</x:t>
        </x:r>
      </x:text>
    </x:comment>
    <x:comment ref="C27" authorId="21">
      <x:text>
        <x:r>
          <x:t>[Threaded comment]
Your version of Excel allows you to read this threaded comment; however, any edits to it will get removed if the file is opened in a newer version of Excel. Learn more: https://go.microsoft.com/fwlink/?linkid=870924
Comment:
    Nguồn: giả định lập kế hoạch, không phải báo giá hoặc thống kê thị trường. Cần báo giá và khảo sát hiện trạng trước khi chốt.</x:t>
        </x:r>
      </x:text>
    </x:comment>
    <x:comment ref="C29" authorId="22">
      <x:text>
        <x:r>
          <x:t>[Threaded comment]
Your version of Excel allows you to read this threaded comment; however, any edits to it will get removed if the file is opened in a newer version of Excel. Learn more: https://go.microsoft.com/fwlink/?linkid=870924
Comment:
    Nguồn: người dùng, chưa đo đạc. Nguồn: người dùng. Chưa biết diện tích sử dụng thuần hay diện tích sàn.</x:t>
        </x:r>
      </x:text>
    </x:comment>
    <x:comment ref="C30" authorId="23">
      <x:text>
        <x:r>
          <x:t>[Threaded comment]
Your version of Excel allows you to read this threaded comment; however, any edits to it will get removed if the file is opened in a newer version of Excel. Learn more: https://go.microsoft.com/fwlink/?linkid=870924
Comment:
    Nguồn: giả định lập kế hoạch, không phải báo giá hoặc thống kê thị trường. Không được coi kịch bản bán trú là phương án đã được phép triển khai.</x:t>
        </x:r>
      </x:text>
    </x:comment>
    <x:comment ref="B36" authorId="24">
      <x:text>
        <x:r>
          <x:t>[Threaded comment]
Your version of Excel allows you to read this threaded comment; however, any edits to it will get removed if the file is opened in a newer version of Excel. Learn more: https://go.microsoft.com/fwlink/?linkid=870924
Comment:
    Nguồn: giả định kịch bản nội bộ ngày 05/09/2026; chưa phải kết quả khảo sát, báo giá hay dự báo cam kết.</x:t>
        </x:r>
      </x:text>
    </x:comment>
    <x:comment ref="C36" authorId="25">
      <x:text>
        <x:r>
          <x:t>[Threaded comment]
Your version of Excel allows you to read this threaded comment; however, any edits to it will get removed if the file is opened in a newer version of Excel. Learn more: https://go.microsoft.com/fwlink/?linkid=870924
Comment:
    Nguồn: giả định kịch bản nội bộ ngày 05/09/2026; chưa phải kết quả khảo sát, báo giá hay dự báo cam kết.</x:t>
        </x:r>
      </x:text>
    </x:comment>
    <x:comment ref="D36" authorId="26">
      <x:text>
        <x:r>
          <x:t>[Threaded comment]
Your version of Excel allows you to read this threaded comment; however, any edits to it will get removed if the file is opened in a newer version of Excel. Learn more: https://go.microsoft.com/fwlink/?linkid=870924
Comment:
    Nguồn: giả định kịch bản nội bộ ngày 05/09/2026; chưa phải kết quả khảo sát, báo giá hay dự báo cam kết.</x:t>
        </x:r>
      </x:text>
    </x:comment>
    <x:comment ref="B37" authorId="27">
      <x:text>
        <x:r>
          <x:t>[Threaded comment]
Your version of Excel allows you to read this threaded comment; however, any edits to it will get removed if the file is opened in a newer version of Excel. Learn more: https://go.microsoft.com/fwlink/?linkid=870924
Comment:
    Nguồn: giả định kịch bản nội bộ ngày 05/09/2026; chưa phải kết quả khảo sát, báo giá hay dự báo cam kết.</x:t>
        </x:r>
      </x:text>
    </x:comment>
    <x:comment ref="C37" authorId="28">
      <x:text>
        <x:r>
          <x:t>[Threaded comment]
Your version of Excel allows you to read this threaded comment; however, any edits to it will get removed if the file is opened in a newer version of Excel. Learn more: https://go.microsoft.com/fwlink/?linkid=870924
Comment:
    Nguồn: giả định kịch bản nội bộ ngày 05/09/2026; chưa phải kết quả khảo sát, báo giá hay dự báo cam kết.</x:t>
        </x:r>
      </x:text>
    </x:comment>
    <x:comment ref="D37" authorId="29">
      <x:text>
        <x:r>
          <x:t>[Threaded comment]
Your version of Excel allows you to read this threaded comment; however, any edits to it will get removed if the file is opened in a newer version of Excel. Learn more: https://go.microsoft.com/fwlink/?linkid=870924
Comment:
    Nguồn: giả định kịch bản nội bộ ngày 05/09/2026; chưa phải kết quả khảo sát, báo giá hay dự báo cam kết.</x:t>
        </x:r>
      </x:text>
    </x:comment>
    <x:comment ref="B38" authorId="30">
      <x:text>
        <x:r>
          <x:t>[Threaded comment]
Your version of Excel allows you to read this threaded comment; however, any edits to it will get removed if the file is opened in a newer version of Excel. Learn more: https://go.microsoft.com/fwlink/?linkid=870924
Comment:
    Nguồn: giả định kịch bản nội bộ ngày 05/09/2026; chưa phải kết quả khảo sát, báo giá hay dự báo cam kết.</x:t>
        </x:r>
      </x:text>
    </x:comment>
    <x:comment ref="C38" authorId="31">
      <x:text>
        <x:r>
          <x:t>[Threaded comment]
Your version of Excel allows you to read this threaded comment; however, any edits to it will get removed if the file is opened in a newer version of Excel. Learn more: https://go.microsoft.com/fwlink/?linkid=870924
Comment:
    Nguồn: giả định kịch bản nội bộ ngày 05/09/2026; chưa phải kết quả khảo sát, báo giá hay dự báo cam kết.</x:t>
        </x:r>
      </x:text>
    </x:comment>
    <x:comment ref="D38" authorId="32">
      <x:text>
        <x:r>
          <x:t>[Threaded comment]
Your version of Excel allows you to read this threaded comment; however, any edits to it will get removed if the file is opened in a newer version of Excel. Learn more: https://go.microsoft.com/fwlink/?linkid=870924
Comment:
    Nguồn: giả định kịch bản nội bộ ngày 05/09/2026; chưa phải kết quả khảo sát, báo giá hay dự báo cam kết.</x:t>
        </x:r>
      </x:text>
    </x:comment>
    <x:comment ref="B39" authorId="33">
      <x:text>
        <x:r>
          <x:t>[Threaded comment]
Your version of Excel allows you to read this threaded comment; however, any edits to it will get removed if the file is opened in a newer version of Excel. Learn more: https://go.microsoft.com/fwlink/?linkid=870924
Comment:
    Nguồn: giả định kịch bản nội bộ ngày 05/09/2026; chưa phải kết quả khảo sát, báo giá hay dự báo cam kết.</x:t>
        </x:r>
      </x:text>
    </x:comment>
    <x:comment ref="C39" authorId="34">
      <x:text>
        <x:r>
          <x:t>[Threaded comment]
Your version of Excel allows you to read this threaded comment; however, any edits to it will get removed if the file is opened in a newer version of Excel. Learn more: https://go.microsoft.com/fwlink/?linkid=870924
Comment:
    Nguồn: giả định kịch bản nội bộ ngày 05/09/2026; chưa phải kết quả khảo sát, báo giá hay dự báo cam kết.</x:t>
        </x:r>
      </x:text>
    </x:comment>
    <x:comment ref="D39" authorId="35">
      <x:text>
        <x:r>
          <x:t>[Threaded comment]
Your version of Excel allows you to read this threaded comment; however, any edits to it will get removed if the file is opened in a newer version of Excel. Learn more: https://go.microsoft.com/fwlink/?linkid=870924
Comment:
    Nguồn: giả định kịch bản nội bộ ngày 05/09/2026; chưa phải kết quả khảo sát, báo giá hay dự báo cam kết.</x:t>
        </x:r>
      </x:text>
    </x:comment>
    <x:comment ref="B40" authorId="36">
      <x:text>
        <x:r>
          <x:t>[Threaded comment]
Your version of Excel allows you to read this threaded comment; however, any edits to it will get removed if the file is opened in a newer version of Excel. Learn more: https://go.microsoft.com/fwlink/?linkid=870924
Comment:
    Nguồn: giả định kịch bản nội bộ ngày 05/09/2026; chưa phải kết quả khảo sát, báo giá hay dự báo cam kết.</x:t>
        </x:r>
      </x:text>
    </x:comment>
    <x:comment ref="C40" authorId="37">
      <x:text>
        <x:r>
          <x:t>[Threaded comment]
Your version of Excel allows you to read this threaded comment; however, any edits to it will get removed if the file is opened in a newer version of Excel. Learn more: https://go.microsoft.com/fwlink/?linkid=870924
Comment:
    Nguồn: giả định kịch bản nội bộ ngày 05/09/2026; chưa phải kết quả khảo sát, báo giá hay dự báo cam kết.</x:t>
        </x:r>
      </x:text>
    </x:comment>
    <x:comment ref="D40" authorId="38">
      <x:text>
        <x:r>
          <x:t>[Threaded comment]
Your version of Excel allows you to read this threaded comment; however, any edits to it will get removed if the file is opened in a newer version of Excel. Learn more: https://go.microsoft.com/fwlink/?linkid=870924
Comment:
    Nguồn: giả định kịch bản nội bộ ngày 05/09/2026; chưa phải kết quả khảo sát, báo giá hay dự báo cam kết.</x:t>
        </x:r>
      </x:text>
    </x:comment>
    <x:comment ref="B41" authorId="39">
      <x:text>
        <x:r>
          <x:t>[Threaded comment]
Your version of Excel allows you to read this threaded comment; however, any edits to it will get removed if the file is opened in a newer version of Excel. Learn more: https://go.microsoft.com/fwlink/?linkid=870924
Comment:
    Nguồn: giả định kịch bản nội bộ ngày 05/09/2026; chưa phải kết quả khảo sát, báo giá hay dự báo cam kết.</x:t>
        </x:r>
      </x:text>
    </x:comment>
    <x:comment ref="C41" authorId="40">
      <x:text>
        <x:r>
          <x:t>[Threaded comment]
Your version of Excel allows you to read this threaded comment; however, any edits to it will get removed if the file is opened in a newer version of Excel. Learn more: https://go.microsoft.com/fwlink/?linkid=870924
Comment:
    Nguồn: giả định kịch bản nội bộ ngày 05/09/2026; chưa phải kết quả khảo sát, báo giá hay dự báo cam kết.</x:t>
        </x:r>
      </x:text>
    </x:comment>
    <x:comment ref="D41" authorId="41">
      <x:text>
        <x:r>
          <x:t>[Threaded comment]
Your version of Excel allows you to read this threaded comment; however, any edits to it will get removed if the file is opened in a newer version of Excel. Learn more: https://go.microsoft.com/fwlink/?linkid=870924
Comment:
    Nguồn: giả định kịch bản nội bộ ngày 05/09/2026; chưa phải kết quả khảo sát, báo giá hay dự báo cam kết.</x:t>
        </x:r>
      </x:text>
    </x:comment>
    <x:comment ref="B42" authorId="42">
      <x:text>
        <x:r>
          <x:t>[Threaded comment]
Your version of Excel allows you to read this threaded comment; however, any edits to it will get removed if the file is opened in a newer version of Excel. Learn more: https://go.microsoft.com/fwlink/?linkid=870924
Comment:
    Nguồn: giả định kịch bản nội bộ ngày 05/09/2026; chưa phải kết quả khảo sát, báo giá hay dự báo cam kết.</x:t>
        </x:r>
      </x:text>
    </x:comment>
    <x:comment ref="C42" authorId="43">
      <x:text>
        <x:r>
          <x:t>[Threaded comment]
Your version of Excel allows you to read this threaded comment; however, any edits to it will get removed if the file is opened in a newer version of Excel. Learn more: https://go.microsoft.com/fwlink/?linkid=870924
Comment:
    Nguồn: giả định kịch bản nội bộ ngày 05/09/2026; chưa phải kết quả khảo sát, báo giá hay dự báo cam kết.</x:t>
        </x:r>
      </x:text>
    </x:comment>
    <x:comment ref="D42" authorId="44">
      <x:text>
        <x:r>
          <x:t>[Threaded comment]
Your version of Excel allows you to read this threaded comment; however, any edits to it will get removed if the file is opened in a newer version of Excel. Learn more: https://go.microsoft.com/fwlink/?linkid=870924
Comment:
    Nguồn: giả định kịch bản nội bộ ngày 05/09/2026; chưa phải kết quả khảo sát, báo giá hay dự báo cam kết.</x:t>
        </x:r>
      </x:text>
    </x:comment>
    <x:comment ref="B43" authorId="45">
      <x:text>
        <x:r>
          <x:t>[Threaded comment]
Your version of Excel allows you to read this threaded comment; however, any edits to it will get removed if the file is opened in a newer version of Excel. Learn more: https://go.microsoft.com/fwlink/?linkid=870924
Comment:
    Nguồn: giả định kịch bản nội bộ ngày 05/09/2026; chưa phải kết quả khảo sát, báo giá hay dự báo cam kết.</x:t>
        </x:r>
      </x:text>
    </x:comment>
    <x:comment ref="C43" authorId="46">
      <x:text>
        <x:r>
          <x:t>[Threaded comment]
Your version of Excel allows you to read this threaded comment; however, any edits to it will get removed if the file is opened in a newer version of Excel. Learn more: https://go.microsoft.com/fwlink/?linkid=870924
Comment:
    Nguồn: giả định kịch bản nội bộ ngày 05/09/2026; chưa phải kết quả khảo sát, báo giá hay dự báo cam kết.</x:t>
        </x:r>
      </x:text>
    </x:comment>
    <x:comment ref="D43" authorId="47">
      <x:text>
        <x:r>
          <x:t>[Threaded comment]
Your version of Excel allows you to read this threaded comment; however, any edits to it will get removed if the file is opened in a newer version of Excel. Learn more: https://go.microsoft.com/fwlink/?linkid=870924
Comment:
    Nguồn: giả định kịch bản nội bộ ngày 05/09/2026; chưa phải kết quả khảo sát, báo giá hay dự báo cam kết.</x:t>
        </x:r>
      </x:text>
    </x:comment>
    <x:comment ref="B47" authorId="48">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C47" authorId="49">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D47" authorId="50">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B48" authorId="51">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C48" authorId="52">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D48" authorId="53">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B49" authorId="54">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C49" authorId="55">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D49" authorId="56">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B50" authorId="57">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C50" authorId="58">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D50" authorId="59">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B51" authorId="60">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C51" authorId="61">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D51" authorId="62">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B52" authorId="63">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C52" authorId="64">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D52" authorId="65">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B53" authorId="66">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C53" authorId="67">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D53" authorId="68">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B54" authorId="69">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C54" authorId="70">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D54" authorId="71">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B55" authorId="72">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C55" authorId="73">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D55" authorId="74">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B56" authorId="75">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C56" authorId="76">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D56" authorId="77">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B57" authorId="78">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C57" authorId="79">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D57" authorId="80">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B58" authorId="81">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C58" authorId="82">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D58" authorId="83">
      <x:text>
        <x:r>
          <x:t>[Threaded comment]
Your version of Excel allows you to read this threaded comment; however, any edits to it will get removed if the file is opened in a newer version of Excel. Learn more: https://go.microsoft.com/fwlink/?linkid=870924
Comment:
    Nguồn: lộ trình tăng trưởng minh họa, chưa kiểm chứng. Không suy ra xác suất đạt từ mô hình.</x:t>
        </x:r>
      </x:text>
    </x:comment>
    <x:comment ref="C31" authorId="84">
      <x:text>
        <x:r>
          <x:t>[Threaded comment]
Your version of Excel allows you to read this threaded comment; however, any edits to it will get removed if the file is opened in a newer version of Excel. Learn more: https://go.microsoft.com/fwlink/?linkid=870924
Comment:
    Nguồn: giả định thận trọng lập kế hoạch. Khách mới tạo trung bình nửa tháng doanh thu; chưa mô hình hóa chi tiết tiền thu trước/VAT/công nợ.</x:t>
        </x:r>
      </x:text>
    </x:comment>
  </x:commentList>
</x:comments>
</file>

<file path=xl/comments2.xml><?xml version="1.0" encoding="utf-8"?>
<x:comments xmlns:x="http://schemas.openxmlformats.org/spreadsheetml/2006/main">
  <x:authors>
    <x:author>tc={916A59E1-33C7-5FFF-E9B8-403741694EC6}</x:author>
    <x:author>tc={6CA472E0-8D35-FA01-8FFC-1795F0F0E47C}</x:author>
    <x:author>tc={DDAA4E22-1261-8C76-B919-367A1B289918}</x:author>
    <x:author>tc={DEC2524B-3D92-916B-AFF7-CDD85CB3C835}</x:author>
    <x:author>tc={B9835042-0693-E058-A487-C6DB8DBE4D18}</x:author>
    <x:author>tc={32106024-4D2F-EA1F-85DB-F85909C34EF7}</x:author>
    <x:author>tc={B9DAB5B6-AE64-D0A7-55DE-F2A4C6561D6F}</x:author>
    <x:author>tc={DC1F193B-1309-E05C-B9B0-B809B8CE0C70}</x:author>
    <x:author>tc={68D8A07B-A8F1-C2F1-E5FD-0B1B73FBE3B1}</x:author>
    <x:author>tc={EE58FC97-B5F8-CB7C-C71F-CCE649028E89}</x:author>
    <x:author>tc={C9CCCDF3-3545-22FF-F603-8CA01ED99DF3}</x:author>
    <x:author>tc={FB86554C-D550-0D4D-6C4B-B626A9AD387A}</x:author>
    <x:author>tc={1ADCE564-37CD-1482-1FCB-7393703B529B}</x:author>
    <x:author>tc={7EC8A732-2579-A871-B02F-E337B8298CA2}</x:author>
    <x:author>tc={EF02EF2F-1CFC-2AD0-B6C0-67AE62158DB7}</x:author>
    <x:author>tc={CC72FB9F-D0CC-BC2B-2A66-B5FE8DE0F06A}</x:author>
    <x:author>tc={06B0A589-2610-BCAA-324A-445DA2FD4E95}</x:author>
    <x:author>tc={43730FF0-99D2-1A55-409F-6476C6779E0B}</x:author>
    <x:author>tc={733ED1A0-0C28-D38B-F840-16B45FF4263F}</x:author>
    <x:author>tc={2994A585-E3BD-C0E6-B76F-24C0AA307A93}</x:author>
  </x:authors>
  <x:commentList>
    <x:comment ref="B6" authorId="0">
      <x:text>
        <x:r>
          <x:t>[Threaded comment]
Your version of Excel allows you to read this threaded comment; however, any edits to it will get removed if the file is opened in a newer version of Excel. Learn more: https://go.microsoft.com/fwlink/?linkid=870924
Comment:
    Nguồn: giá trị thử độ nhạy do người lập mô hình lựa chọn, không phải giá thuê/giá dịch vụ đã khảo sát.</x:t>
        </x:r>
      </x:text>
    </x:comment>
    <x:comment ref="C6" authorId="1">
      <x:text>
        <x:r>
          <x:t>[Threaded comment]
Your version of Excel allows you to read this threaded comment; however, any edits to it will get removed if the file is opened in a newer version of Excel. Learn more: https://go.microsoft.com/fwlink/?linkid=870924
Comment:
    Nguồn: giá trị thử độ nhạy do người lập mô hình lựa chọn, không phải giá thuê/giá dịch vụ đã khảo sát.</x:t>
        </x:r>
      </x:text>
    </x:comment>
    <x:comment ref="D6" authorId="2">
      <x:text>
        <x:r>
          <x:t>[Threaded comment]
Your version of Excel allows you to read this threaded comment; however, any edits to it will get removed if the file is opened in a newer version of Excel. Learn more: https://go.microsoft.com/fwlink/?linkid=870924
Comment:
    Nguồn: giá trị thử độ nhạy do người lập mô hình lựa chọn, không phải giá thuê/giá dịch vụ đã khảo sát.</x:t>
        </x:r>
      </x:text>
    </x:comment>
    <x:comment ref="E6" authorId="3">
      <x:text>
        <x:r>
          <x:t>[Threaded comment]
Your version of Excel allows you to read this threaded comment; however, any edits to it will get removed if the file is opened in a newer version of Excel. Learn more: https://go.microsoft.com/fwlink/?linkid=870924
Comment:
    Nguồn: giá trị thử độ nhạy do người lập mô hình lựa chọn, không phải giá thuê/giá dịch vụ đã khảo sát.</x:t>
        </x:r>
      </x:text>
    </x:comment>
    <x:comment ref="F6" authorId="4">
      <x:text>
        <x:r>
          <x:t>[Threaded comment]
Your version of Excel allows you to read this threaded comment; however, any edits to it will get removed if the file is opened in a newer version of Excel. Learn more: https://go.microsoft.com/fwlink/?linkid=870924
Comment:
    Nguồn: giá trị thử độ nhạy do người lập mô hình lựa chọn, không phải giá thuê/giá dịch vụ đã khảo sát.</x:t>
        </x:r>
      </x:text>
    </x:comment>
    <x:comment ref="A7" authorId="5">
      <x:text>
        <x:r>
          <x:t>[Threaded comment]
Your version of Excel allows you to read this threaded comment; however, any edits to it will get removed if the file is opened in a newer version of Excel. Learn more: https://go.microsoft.com/fwlink/?linkid=870924
Comment:
    Nguồn: giá trị thử độ nhạy do người lập mô hình lựa chọn, không phải giá thuê/giá dịch vụ đã khảo sát.</x:t>
        </x:r>
      </x:text>
    </x:comment>
    <x:comment ref="A8" authorId="6">
      <x:text>
        <x:r>
          <x:t>[Threaded comment]
Your version of Excel allows you to read this threaded comment; however, any edits to it will get removed if the file is opened in a newer version of Excel. Learn more: https://go.microsoft.com/fwlink/?linkid=870924
Comment:
    Nguồn: giá trị thử độ nhạy do người lập mô hình lựa chọn, không phải giá thuê/giá dịch vụ đã khảo sát.</x:t>
        </x:r>
      </x:text>
    </x:comment>
    <x:comment ref="A9" authorId="7">
      <x:text>
        <x:r>
          <x:t>[Threaded comment]
Your version of Excel allows you to read this threaded comment; however, any edits to it will get removed if the file is opened in a newer version of Excel. Learn more: https://go.microsoft.com/fwlink/?linkid=870924
Comment:
    Nguồn: giá trị thử độ nhạy do người lập mô hình lựa chọn, không phải giá thuê/giá dịch vụ đã khảo sát.</x:t>
        </x:r>
      </x:text>
    </x:comment>
    <x:comment ref="A10" authorId="8">
      <x:text>
        <x:r>
          <x:t>[Threaded comment]
Your version of Excel allows you to read this threaded comment; however, any edits to it will get removed if the file is opened in a newer version of Excel. Learn more: https://go.microsoft.com/fwlink/?linkid=870924
Comment:
    Nguồn: giá trị thử độ nhạy do người lập mô hình lựa chọn, không phải giá thuê/giá dịch vụ đã khảo sát.</x:t>
        </x:r>
      </x:text>
    </x:comment>
    <x:comment ref="A11" authorId="9">
      <x:text>
        <x:r>
          <x:t>[Threaded comment]
Your version of Excel allows you to read this threaded comment; however, any edits to it will get removed if the file is opened in a newer version of Excel. Learn more: https://go.microsoft.com/fwlink/?linkid=870924
Comment:
    Nguồn: giá trị thử độ nhạy do người lập mô hình lựa chọn, không phải giá thuê/giá dịch vụ đã khảo sát.</x:t>
        </x:r>
      </x:text>
    </x:comment>
    <x:comment ref="B15" authorId="10">
      <x:text>
        <x:r>
          <x:t>[Threaded comment]
Your version of Excel allows you to read this threaded comment; however, any edits to it will get removed if the file is opened in a newer version of Excel. Learn more: https://go.microsoft.com/fwlink/?linkid=870924
Comment:
    Nguồn: giá trị thử độ nhạy do người lập mô hình lựa chọn, không phải giá thuê/giá dịch vụ đã khảo sát.</x:t>
        </x:r>
      </x:text>
    </x:comment>
    <x:comment ref="C15" authorId="11">
      <x:text>
        <x:r>
          <x:t>[Threaded comment]
Your version of Excel allows you to read this threaded comment; however, any edits to it will get removed if the file is opened in a newer version of Excel. Learn more: https://go.microsoft.com/fwlink/?linkid=870924
Comment:
    Nguồn: giá trị thử độ nhạy do người lập mô hình lựa chọn, không phải giá thuê/giá dịch vụ đã khảo sát.</x:t>
        </x:r>
      </x:text>
    </x:comment>
    <x:comment ref="D15" authorId="12">
      <x:text>
        <x:r>
          <x:t>[Threaded comment]
Your version of Excel allows you to read this threaded comment; however, any edits to it will get removed if the file is opened in a newer version of Excel. Learn more: https://go.microsoft.com/fwlink/?linkid=870924
Comment:
    Nguồn: giá trị thử độ nhạy do người lập mô hình lựa chọn, không phải giá thuê/giá dịch vụ đã khảo sát.</x:t>
        </x:r>
      </x:text>
    </x:comment>
    <x:comment ref="E15" authorId="13">
      <x:text>
        <x:r>
          <x:t>[Threaded comment]
Your version of Excel allows you to read this threaded comment; however, any edits to it will get removed if the file is opened in a newer version of Excel. Learn more: https://go.microsoft.com/fwlink/?linkid=870924
Comment:
    Nguồn: giá trị thử độ nhạy do người lập mô hình lựa chọn, không phải giá thuê/giá dịch vụ đã khảo sát.</x:t>
        </x:r>
      </x:text>
    </x:comment>
    <x:comment ref="F15" authorId="14">
      <x:text>
        <x:r>
          <x:t>[Threaded comment]
Your version of Excel allows you to read this threaded comment; however, any edits to it will get removed if the file is opened in a newer version of Excel. Learn more: https://go.microsoft.com/fwlink/?linkid=870924
Comment:
    Nguồn: giá trị thử độ nhạy do người lập mô hình lựa chọn, không phải giá thuê/giá dịch vụ đã khảo sát.</x:t>
        </x:r>
      </x:text>
    </x:comment>
    <x:comment ref="A16" authorId="15">
      <x:text>
        <x:r>
          <x:t>[Threaded comment]
Your version of Excel allows you to read this threaded comment; however, any edits to it will get removed if the file is opened in a newer version of Excel. Learn more: https://go.microsoft.com/fwlink/?linkid=870924
Comment:
    Nguồn: giá trị thử độ nhạy do người lập mô hình lựa chọn, không phải giá thuê/giá dịch vụ đã khảo sát.</x:t>
        </x:r>
      </x:text>
    </x:comment>
    <x:comment ref="A17" authorId="16">
      <x:text>
        <x:r>
          <x:t>[Threaded comment]
Your version of Excel allows you to read this threaded comment; however, any edits to it will get removed if the file is opened in a newer version of Excel. Learn more: https://go.microsoft.com/fwlink/?linkid=870924
Comment:
    Nguồn: giá trị thử độ nhạy do người lập mô hình lựa chọn, không phải giá thuê/giá dịch vụ đã khảo sát.</x:t>
        </x:r>
      </x:text>
    </x:comment>
    <x:comment ref="A18" authorId="17">
      <x:text>
        <x:r>
          <x:t>[Threaded comment]
Your version of Excel allows you to read this threaded comment; however, any edits to it will get removed if the file is opened in a newer version of Excel. Learn more: https://go.microsoft.com/fwlink/?linkid=870924
Comment:
    Nguồn: giá trị thử độ nhạy do người lập mô hình lựa chọn, không phải giá thuê/giá dịch vụ đã khảo sát.</x:t>
        </x:r>
      </x:text>
    </x:comment>
    <x:comment ref="A19" authorId="18">
      <x:text>
        <x:r>
          <x:t>[Threaded comment]
Your version of Excel allows you to read this threaded comment; however, any edits to it will get removed if the file is opened in a newer version of Excel. Learn more: https://go.microsoft.com/fwlink/?linkid=870924
Comment:
    Nguồn: giá trị thử độ nhạy do người lập mô hình lựa chọn, không phải giá thuê/giá dịch vụ đã khảo sát.</x:t>
        </x:r>
      </x:text>
    </x:comment>
    <x:comment ref="A20" authorId="19">
      <x:text>
        <x:r>
          <x:t>[Threaded comment]
Your version of Excel allows you to read this threaded comment; however, any edits to it will get removed if the file is opened in a newer version of Excel. Learn more: https://go.microsoft.com/fwlink/?linkid=870924
Comment:
    Nguồn: giá trị thử độ nhạy do người lập mô hình lựa chọn, không phải giá thuê/giá dịch vụ đã khảo sát.</x:t>
        </x:r>
      </x:text>
    </x:comment>
  </x:commentList>
</x:comments>
</file>

<file path=xl/comments3.xml><?xml version="1.0" encoding="utf-8"?>
<x:comments xmlns:x="http://schemas.openxmlformats.org/spreadsheetml/2006/main">
  <x:authors>
    <x:author>tc={9E9D57E6-15BC-5473-EB4E-30105411B5F4}</x:author>
    <x:author>tc={B128B282-3548-2482-6EC1-37ECF8CF5C4C}</x:author>
    <x:author>tc={53596FC7-9001-99E5-85DD-91072C0D26E7}</x:author>
    <x:author>tc={C01B8986-DE3F-915C-96A0-63052744DB1B}</x:author>
    <x:author>tc={4DDC2B0A-0B14-6F91-815D-C93EC911161C}</x:author>
    <x:author>tc={D78F18BB-0C88-8EA1-9C78-808771166690}</x:author>
    <x:author>tc={E7A731DB-3A8D-20B9-BA6D-3858060EF09D}</x:author>
    <x:author>tc={36A07C24-E85E-7F17-C96A-42BAEC27C175}</x:author>
    <x:author>tc={7CBE1D56-2C85-D7A9-9E75-2370D8AC349B}</x:author>
    <x:author>tc={D073965B-10AF-8215-67AF-4933046EDA55}</x:author>
    <x:author>tc={CB4EC174-9A04-7E41-E51D-5D74A3AA3232}</x:author>
    <x:author>tc={D0B4D9CD-68F9-1B34-4494-DC1ED16557A7}</x:author>
    <x:author>tc={06FC0B16-2565-7084-21D6-56374154A110}</x:author>
    <x:author>tc={8E9A3730-347C-93D7-842D-9D85A27F5EA6}</x:author>
  </x:authors>
  <x:commentList>
    <x:comment ref="B5" authorId="0">
      <x:text>
        <x:r>
          <x:t>[Threaded comment]
Your version of Excel allows you to read this threaded comment; however, any edits to it will get removed if the file is opened in a newer version of Excel. Learn more: https://go.microsoft.com/fwlink/?linkid=870924
Comment:
    Nguồn: ngân sách lập kế hoạch nội bộ, không phải báo giá thị trường. Phải thay bằng báo giá sau khi xác nhận công năng và khảo sát hiện trạng.</x:t>
        </x:r>
      </x:text>
    </x:comment>
    <x:comment ref="D5" authorId="1">
      <x:text>
        <x:r>
          <x:t>[Threaded comment]
Your version of Excel allows you to read this threaded comment; however, any edits to it will get removed if the file is opened in a newer version of Excel. Learn more: https://go.microsoft.com/fwlink/?linkid=870924
Comment:
    Nguồn: ngân sách lập kế hoạch nội bộ, không phải báo giá thị trường. Phải thay bằng báo giá sau khi xác nhận công năng và khảo sát hiện trạng.</x:t>
        </x:r>
      </x:text>
    </x:comment>
    <x:comment ref="B6" authorId="2">
      <x:text>
        <x:r>
          <x:t>[Threaded comment]
Your version of Excel allows you to read this threaded comment; however, any edits to it will get removed if the file is opened in a newer version of Excel. Learn more: https://go.microsoft.com/fwlink/?linkid=870924
Comment:
    Nguồn: ngân sách lập kế hoạch nội bộ, không phải báo giá thị trường. Phải thay bằng báo giá sau khi xác nhận công năng và khảo sát hiện trạng.</x:t>
        </x:r>
      </x:text>
    </x:comment>
    <x:comment ref="D6" authorId="3">
      <x:text>
        <x:r>
          <x:t>[Threaded comment]
Your version of Excel allows you to read this threaded comment; however, any edits to it will get removed if the file is opened in a newer version of Excel. Learn more: https://go.microsoft.com/fwlink/?linkid=870924
Comment:
    Nguồn: ngân sách lập kế hoạch nội bộ, không phải báo giá thị trường. Phải thay bằng báo giá sau khi xác nhận công năng và khảo sát hiện trạng.</x:t>
        </x:r>
      </x:text>
    </x:comment>
    <x:comment ref="B7" authorId="4">
      <x:text>
        <x:r>
          <x:t>[Threaded comment]
Your version of Excel allows you to read this threaded comment; however, any edits to it will get removed if the file is opened in a newer version of Excel. Learn more: https://go.microsoft.com/fwlink/?linkid=870924
Comment:
    Nguồn: ngân sách lập kế hoạch nội bộ, không phải báo giá thị trường. Phải thay bằng báo giá sau khi xác nhận công năng và khảo sát hiện trạng.</x:t>
        </x:r>
      </x:text>
    </x:comment>
    <x:comment ref="D7" authorId="5">
      <x:text>
        <x:r>
          <x:t>[Threaded comment]
Your version of Excel allows you to read this threaded comment; however, any edits to it will get removed if the file is opened in a newer version of Excel. Learn more: https://go.microsoft.com/fwlink/?linkid=870924
Comment:
    Nguồn: ngân sách lập kế hoạch nội bộ, không phải báo giá thị trường. Phải thay bằng báo giá sau khi xác nhận công năng và khảo sát hiện trạng.</x:t>
        </x:r>
      </x:text>
    </x:comment>
    <x:comment ref="B8" authorId="6">
      <x:text>
        <x:r>
          <x:t>[Threaded comment]
Your version of Excel allows you to read this threaded comment; however, any edits to it will get removed if the file is opened in a newer version of Excel. Learn more: https://go.microsoft.com/fwlink/?linkid=870924
Comment:
    Nguồn: ngân sách lập kế hoạch nội bộ, không phải báo giá thị trường. Phải thay bằng báo giá sau khi xác nhận công năng và khảo sát hiện trạng.</x:t>
        </x:r>
      </x:text>
    </x:comment>
    <x:comment ref="D8" authorId="7">
      <x:text>
        <x:r>
          <x:t>[Threaded comment]
Your version of Excel allows you to read this threaded comment; however, any edits to it will get removed if the file is opened in a newer version of Excel. Learn more: https://go.microsoft.com/fwlink/?linkid=870924
Comment:
    Nguồn: ngân sách lập kế hoạch nội bộ, không phải báo giá thị trường. Phải thay bằng báo giá sau khi xác nhận công năng và khảo sát hiện trạng.</x:t>
        </x:r>
      </x:text>
    </x:comment>
    <x:comment ref="B9" authorId="8">
      <x:text>
        <x:r>
          <x:t>[Threaded comment]
Your version of Excel allows you to read this threaded comment; however, any edits to it will get removed if the file is opened in a newer version of Excel. Learn more: https://go.microsoft.com/fwlink/?linkid=870924
Comment:
    Nguồn: ngân sách lập kế hoạch nội bộ, không phải báo giá thị trường. Phải thay bằng báo giá sau khi xác nhận công năng và khảo sát hiện trạng.</x:t>
        </x:r>
      </x:text>
    </x:comment>
    <x:comment ref="D9" authorId="9">
      <x:text>
        <x:r>
          <x:t>[Threaded comment]
Your version of Excel allows you to read this threaded comment; however, any edits to it will get removed if the file is opened in a newer version of Excel. Learn more: https://go.microsoft.com/fwlink/?linkid=870924
Comment:
    Nguồn: ngân sách lập kế hoạch nội bộ, không phải báo giá thị trường. Phải thay bằng báo giá sau khi xác nhận công năng và khảo sát hiện trạng.</x:t>
        </x:r>
      </x:text>
    </x:comment>
    <x:comment ref="B10" authorId="10">
      <x:text>
        <x:r>
          <x:t>[Threaded comment]
Your version of Excel allows you to read this threaded comment; however, any edits to it will get removed if the file is opened in a newer version of Excel. Learn more: https://go.microsoft.com/fwlink/?linkid=870924
Comment:
    Nguồn: ngân sách lập kế hoạch nội bộ, không phải báo giá thị trường. Phải thay bằng báo giá sau khi xác nhận công năng và khảo sát hiện trạng.</x:t>
        </x:r>
      </x:text>
    </x:comment>
    <x:comment ref="D10" authorId="11">
      <x:text>
        <x:r>
          <x:t>[Threaded comment]
Your version of Excel allows you to read this threaded comment; however, any edits to it will get removed if the file is opened in a newer version of Excel. Learn more: https://go.microsoft.com/fwlink/?linkid=870924
Comment:
    Nguồn: ngân sách lập kế hoạch nội bộ, không phải báo giá thị trường. Phải thay bằng báo giá sau khi xác nhận công năng và khảo sát hiện trạng.</x:t>
        </x:r>
      </x:text>
    </x:comment>
    <x:comment ref="B11" authorId="12">
      <x:text>
        <x:r>
          <x:t>[Threaded comment]
Your version of Excel allows you to read this threaded comment; however, any edits to it will get removed if the file is opened in a newer version of Excel. Learn more: https://go.microsoft.com/fwlink/?linkid=870924
Comment:
    Nguồn: ngân sách lập kế hoạch nội bộ, không phải báo giá thị trường. Phải thay bằng báo giá sau khi xác nhận công năng và khảo sát hiện trạng.</x:t>
        </x:r>
      </x:text>
    </x:comment>
    <x:comment ref="D11" authorId="13">
      <x:text>
        <x:r>
          <x:t>[Threaded comment]
Your version of Excel allows you to read this threaded comment; however, any edits to it will get removed if the file is opened in a newer version of Excel. Learn more: https://go.microsoft.com/fwlink/?linkid=870924
Comment:
    Nguồn: ngân sách lập kế hoạch nội bộ, không phải báo giá thị trường. Phải thay bằng báo giá sau khi xác nhận công năng và khảo sát hiện trạng.</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Red](#,##0.0);&quot;-&quot;"/>
    <x:numFmt numFmtId="201" formatCode="0.0%;[Red](0.0%);&quot;-&quot;"/>
    <x:numFmt numFmtId="202" formatCode="#,##0;[Red](#,##0);&quot;-&quot;"/>
  </x:numFmts>
  <x:fonts count="9">
    <x:font>
      <x:sz val="11"/>
      <x:name val="Carlito"/>
    </x:font>
    <x:font>
      <x:sz val="11"/>
      <x:color rgb="FF000000"/>
      <x:name val="Calibri"/>
    </x:font>
    <x:font>
      <x:b/>
      <x:sz val="18"/>
      <x:color rgb="FFFFFFFF"/>
      <x:name val="Calibri"/>
    </x:font>
    <x:font>
      <x:sz val="10"/>
      <x:color rgb="FF53666A"/>
      <x:name val="Calibri"/>
    </x:font>
    <x:font>
      <x:b/>
      <x:sz val="11"/>
      <x:color rgb="FFFFFFFF"/>
      <x:name val="Calibri"/>
    </x:font>
    <x:font>
      <x:sz val="11"/>
      <x:color rgb="FF0000FF"/>
      <x:name val="Calibri"/>
    </x:font>
    <x:font>
      <x:sz val="11"/>
      <x:color rgb="FF008000"/>
      <x:name val="Calibri"/>
    </x:font>
    <x:font>
      <x:b/>
      <x:sz val="11"/>
      <x:color rgb="FF000000"/>
      <x:name val="Calibri"/>
    </x:font>
    <x:font>
      <x:b/>
      <x:sz val="11"/>
      <x:color rgb="FF008000"/>
      <x:name val="Calibri"/>
    </x:font>
  </x:fonts>
  <x:fills count="8">
    <x:fill>
      <x:patternFill patternType="none"/>
    </x:fill>
    <x:fill>
      <x:patternFill patternType="gray125"/>
    </x:fill>
    <x:fill>
      <x:patternFill patternType="solid">
        <x:fgColor rgb="FF163C44"/>
      </x:patternFill>
    </x:fill>
    <x:fill>
      <x:patternFill patternType="solid">
        <x:fgColor rgb="FF197B7A"/>
      </x:patternFill>
    </x:fill>
    <x:fill>
      <x:patternFill patternType="solid">
        <x:fgColor rgb="FFFFF2CC"/>
      </x:patternFill>
    </x:fill>
    <x:fill>
      <x:patternFill patternType="solid">
        <x:fgColor rgb="FFEAF3F1"/>
      </x:patternFill>
    </x:fill>
    <x:fill>
      <x:patternFill patternType="solid">
        <x:fgColor rgb="FFFFFFFF"/>
      </x:patternFill>
    </x:fill>
    <x:fill>
      <x:patternFill patternType="solid">
        <x:fgColor rgb="FFFBE7E5"/>
      </x:patternFill>
    </x:fill>
  </x:fills>
  <x:borders count="2">
    <x:border/>
    <x:border/>
  </x:borders>
  <x:cellStyleXfs count="1">
    <x:xf numFmtId="0" fontId="0" fillId="0" borderId="0"/>
  </x:cellStyleXfs>
  <x:cellXfs count="120">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1" xfId="0" applyNumberFormat="1" applyFont="1" applyFill="1" applyBorder="1"/>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1" xfId="0" applyNumberFormat="1" applyFont="1" applyFill="1" applyBorder="1" applyAlignment="1">
      <x:alignment vertical="center" wrapText="1"/>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3" fillId="0" borderId="1" xfId="0" applyNumberFormat="1" applyFont="1" applyFill="1" applyBorder="1" applyAlignment="1">
      <x:alignment vertical="center"/>
    </x:xf>
    <x:xf numFmtId="0" fontId="3" fillId="0" borderId="1"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vertical="center" wrapText="1"/>
    </x:xf>
    <x:xf numFmtId="0" fontId="1" fillId="3" borderId="1" xfId="0" applyNumberFormat="1" applyFont="1" applyFill="1" applyBorder="1" applyAlignment="1">
      <x:alignment vertical="center"/>
    </x:xf>
    <x:xf numFmtId="0" fontId="4" fillId="3" borderId="1" xfId="0" applyNumberFormat="1" applyFont="1" applyFill="1" applyBorder="1" applyAlignment="1">
      <x:alignment vertical="center"/>
    </x:xf>
    <x:xf numFmtId="0" fontId="4" fillId="3" borderId="1"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1" fillId="4" borderId="1" xfId="0" applyNumberFormat="1" applyFont="1" applyFill="1" applyBorder="1" applyAlignment="1">
      <x:alignment vertical="center"/>
    </x:xf>
    <x:xf numFmtId="0" fontId="5" fillId="4" borderId="1" xfId="0" applyNumberFormat="1" applyFont="1" applyFill="1" applyBorder="1" applyAlignment="1">
      <x:alignment vertical="center"/>
    </x:xf>
    <x:xf numFmtId="200" fontId="5" fillId="4" borderId="0" xfId="0" applyNumberFormat="1" applyFont="1" applyFill="1" applyBorder="1" applyAlignment="1">
      <x:alignment vertical="center"/>
    </x:xf>
    <x:xf numFmtId="200" fontId="5" fillId="4" borderId="1" xfId="0" applyNumberFormat="1" applyFont="1" applyFill="1" applyBorder="1" applyAlignment="1">
      <x:alignment vertical="center"/>
    </x:xf>
    <x:xf numFmtId="200" fontId="1" fillId="4" borderId="0" xfId="0" applyNumberFormat="1" applyFont="1" applyFill="1" applyBorder="1" applyAlignment="1">
      <x:alignment vertical="center"/>
    </x:xf>
    <x:xf numFmtId="200" fontId="1" fillId="4" borderId="1" xfId="0" applyNumberFormat="1" applyFont="1" applyFill="1" applyBorder="1" applyAlignment="1">
      <x:alignment vertical="center"/>
    </x:xf>
    <x:xf numFmtId="201" fontId="5" fillId="4" borderId="0" xfId="0" applyNumberFormat="1" applyFont="1" applyFill="1" applyBorder="1" applyAlignment="1">
      <x:alignment vertical="center"/>
    </x:xf>
    <x:xf numFmtId="201" fontId="5" fillId="4" borderId="1" xfId="0" applyNumberFormat="1" applyFont="1" applyFill="1" applyBorder="1" applyAlignment="1">
      <x:alignment vertical="center"/>
    </x:xf>
    <x:xf numFmtId="200" fontId="5" fillId="4" borderId="0" xfId="0" applyNumberFormat="1" applyFont="1" applyFill="1" applyBorder="1" applyAlignment="1">
      <x:alignment vertical="center" wrapText="1"/>
    </x:xf>
    <x:xf numFmtId="200" fontId="5" fillId="4" borderId="1" xfId="0" applyNumberFormat="1" applyFont="1" applyFill="1" applyBorder="1" applyAlignment="1">
      <x:alignment vertical="center" wrapText="1"/>
    </x:xf>
    <x:xf numFmtId="200" fontId="1" fillId="0" borderId="0" xfId="0" applyNumberFormat="1" applyFont="1" applyFill="1" applyBorder="1" applyAlignment="1">
      <x:alignment vertical="center"/>
    </x:xf>
    <x:xf numFmtId="200" fontId="1" fillId="0" borderId="1" xfId="0" applyNumberFormat="1" applyFont="1" applyFill="1" applyBorder="1" applyAlignment="1">
      <x:alignment vertical="center"/>
    </x:xf>
    <x:xf numFmtId="200" fontId="6" fillId="0" borderId="0" xfId="0" applyNumberFormat="1" applyFont="1" applyFill="1" applyBorder="1" applyAlignment="1">
      <x:alignment vertical="center"/>
    </x:xf>
    <x:xf numFmtId="200" fontId="6" fillId="0" borderId="1" xfId="0" applyNumberFormat="1" applyFont="1" applyFill="1" applyBorder="1" applyAlignment="1">
      <x:alignment vertical="center"/>
    </x:xf>
    <x:xf numFmtId="0" fontId="1" fillId="5" borderId="0" xfId="0" applyNumberFormat="1" applyFont="1" applyFill="1" applyBorder="1" applyAlignment="1">
      <x:alignment vertical="center" wrapText="1"/>
    </x:xf>
    <x:xf numFmtId="200" fontId="1" fillId="5" borderId="0" xfId="0" applyNumberFormat="1" applyFont="1" applyFill="1" applyBorder="1" applyAlignment="1">
      <x:alignment vertical="center"/>
    </x:xf>
    <x:xf numFmtId="0" fontId="1" fillId="5" borderId="1" xfId="0" applyNumberFormat="1" applyFont="1" applyFill="1" applyBorder="1" applyAlignment="1">
      <x:alignment vertical="center" wrapText="1"/>
    </x:xf>
    <x:xf numFmtId="200" fontId="1" fillId="5" borderId="1" xfId="0" applyNumberFormat="1" applyFont="1" applyFill="1" applyBorder="1" applyAlignment="1">
      <x:alignment vertical="center"/>
    </x:xf>
    <x:xf numFmtId="0" fontId="7" fillId="5" borderId="0" xfId="0" applyNumberFormat="1" applyFont="1" applyFill="1" applyBorder="1" applyAlignment="1">
      <x:alignment vertical="center" wrapText="1"/>
    </x:xf>
    <x:xf numFmtId="200" fontId="7" fillId="5" borderId="0" xfId="0" applyNumberFormat="1" applyFont="1" applyFill="1" applyBorder="1" applyAlignment="1">
      <x:alignment vertical="center"/>
    </x:xf>
    <x:xf numFmtId="0" fontId="7" fillId="5" borderId="1" xfId="0" applyNumberFormat="1" applyFont="1" applyFill="1" applyBorder="1" applyAlignment="1">
      <x:alignment vertical="center" wrapText="1"/>
    </x:xf>
    <x:xf numFmtId="200" fontId="7" fillId="5" borderId="1" xfId="0" applyNumberFormat="1" applyFont="1" applyFill="1" applyBorder="1" applyAlignment="1">
      <x:alignment vertical="center"/>
    </x:xf>
    <x:xf numFmtId="200" fontId="6" fillId="5" borderId="0" xfId="0" applyNumberFormat="1" applyFont="1" applyFill="1" applyBorder="1" applyAlignment="1">
      <x:alignment vertical="center"/>
    </x:xf>
    <x:xf numFmtId="200" fontId="6" fillId="5" borderId="1" xfId="0" applyNumberFormat="1" applyFont="1" applyFill="1" applyBorder="1" applyAlignment="1">
      <x:alignment vertical="center"/>
    </x:xf>
    <x:xf numFmtId="200" fontId="8" fillId="5" borderId="0" xfId="0" applyNumberFormat="1" applyFont="1" applyFill="1" applyBorder="1" applyAlignment="1">
      <x:alignment vertical="center"/>
    </x:xf>
    <x:xf numFmtId="200" fontId="8" fillId="5" borderId="1" xfId="0" applyNumberFormat="1" applyFont="1" applyFill="1" applyBorder="1" applyAlignment="1">
      <x:alignment vertical="center"/>
    </x:xf>
    <x:xf numFmtId="201" fontId="1" fillId="0" borderId="0" xfId="0" applyNumberFormat="1" applyFont="1" applyFill="1" applyBorder="1" applyAlignment="1">
      <x:alignment vertical="center"/>
    </x:xf>
    <x:xf numFmtId="201" fontId="1" fillId="0" borderId="1" xfId="0" applyNumberFormat="1" applyFont="1" applyFill="1" applyBorder="1" applyAlignment="1">
      <x:alignment vertical="center"/>
    </x:xf>
    <x:xf numFmtId="201" fontId="6" fillId="0" borderId="0" xfId="0" applyNumberFormat="1" applyFont="1" applyFill="1" applyBorder="1" applyAlignment="1">
      <x:alignment vertical="center"/>
    </x:xf>
    <x:xf numFmtId="201" fontId="6" fillId="0" borderId="1" xfId="0" applyNumberFormat="1" applyFont="1" applyFill="1" applyBorder="1" applyAlignment="1">
      <x:alignment vertical="center"/>
    </x:xf>
    <x:xf numFmtId="202" fontId="6" fillId="0" borderId="0" xfId="0" applyNumberFormat="1" applyFont="1" applyFill="1" applyBorder="1" applyAlignment="1">
      <x:alignment vertical="center"/>
    </x:xf>
    <x:xf numFmtId="202" fontId="6" fillId="0" borderId="1" xfId="0" applyNumberFormat="1" applyFont="1" applyFill="1" applyBorder="1" applyAlignment="1">
      <x:alignment vertical="center"/>
    </x:xf>
    <x:xf numFmtId="202" fontId="1" fillId="0" borderId="0" xfId="0" applyNumberFormat="1" applyFont="1" applyFill="1" applyBorder="1" applyAlignment="1">
      <x:alignment vertical="center"/>
    </x:xf>
    <x:xf numFmtId="202" fontId="1" fillId="0" borderId="1" xfId="0" applyNumberFormat="1" applyFont="1" applyFill="1" applyBorder="1" applyAlignment="1">
      <x:alignment vertical="center"/>
    </x:xf>
    <x:xf numFmtId="202" fontId="8" fillId="5" borderId="0" xfId="0" applyNumberFormat="1" applyFont="1" applyFill="1" applyBorder="1" applyAlignment="1">
      <x:alignment vertical="center"/>
    </x:xf>
    <x:xf numFmtId="202" fontId="8" fillId="5" borderId="1" xfId="0" applyNumberFormat="1" applyFont="1" applyFill="1" applyBorder="1" applyAlignment="1">
      <x:alignment vertical="center"/>
    </x:xf>
    <x:xf numFmtId="0" fontId="1" fillId="4" borderId="0" xfId="0" applyNumberFormat="1" applyFont="1" applyFill="1" applyBorder="1" applyAlignment="1">
      <x:alignment vertical="center" wrapText="1"/>
    </x:xf>
    <x:xf numFmtId="0" fontId="1" fillId="4" borderId="1"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5" fillId="4" borderId="1" xfId="0" applyNumberFormat="1" applyFont="1" applyFill="1" applyBorder="1" applyAlignment="1">
      <x:alignment vertical="center" wrapText="1"/>
    </x:xf>
    <x:xf numFmtId="201" fontId="5" fillId="4" borderId="0" xfId="0" applyNumberFormat="1" applyFont="1" applyFill="1" applyBorder="1" applyAlignment="1">
      <x:alignment vertical="center" wrapText="1"/>
    </x:xf>
    <x:xf numFmtId="201" fontId="5" fillId="4" borderId="1" xfId="0" applyNumberFormat="1" applyFont="1" applyFill="1" applyBorder="1" applyAlignment="1">
      <x:alignment vertical="center" wrapText="1"/>
    </x:xf>
    <x:xf numFmtId="0" fontId="5" fillId="0" borderId="0" xfId="0" applyNumberFormat="1" applyFont="1" applyFill="1" applyBorder="1" applyAlignment="1">
      <x:alignment vertical="center"/>
    </x:xf>
    <x:xf numFmtId="0" fontId="5" fillId="0" borderId="1" xfId="0" applyNumberFormat="1" applyFont="1" applyFill="1" applyBorder="1" applyAlignment="1">
      <x:alignment vertical="center"/>
    </x:xf>
    <x:xf numFmtId="0" fontId="6" fillId="0" borderId="0" xfId="0" applyNumberFormat="1" applyFont="1" applyFill="1" applyBorder="1" applyAlignment="1">
      <x:alignment vertical="center"/>
    </x:xf>
    <x:xf numFmtId="0" fontId="6" fillId="0" borderId="1" xfId="0" applyNumberFormat="1" applyFont="1" applyFill="1" applyBorder="1" applyAlignment="1">
      <x:alignment vertical="center"/>
    </x:xf>
    <x:xf numFmtId="200" fontId="5" fillId="0" borderId="0" xfId="0" applyNumberFormat="1" applyFont="1" applyFill="1" applyBorder="1" applyAlignment="1">
      <x:alignment vertical="center"/>
    </x:xf>
    <x:xf numFmtId="200" fontId="5" fillId="0" borderId="1" xfId="0" applyNumberFormat="1" applyFont="1" applyFill="1" applyBorder="1" applyAlignment="1">
      <x:alignment vertical="center"/>
    </x:xf>
    <x:xf numFmtId="200" fontId="5"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5" fillId="0" borderId="1" xfId="0" applyNumberFormat="1" applyFont="1" applyFill="1" applyBorder="1" applyAlignment="1">
      <x:alignment vertical="center" wrapText="1"/>
    </x:xf>
    <x:xf numFmtId="200" fontId="1" fillId="0" borderId="1" xfId="0" applyNumberFormat="1" applyFont="1" applyFill="1" applyBorder="1" applyAlignment="1">
      <x:alignment vertical="center" wrapText="1"/>
    </x:xf>
    <x:xf numFmtId="0" fontId="1" fillId="5" borderId="0" xfId="0" applyNumberFormat="1" applyFont="1" applyFill="1" applyBorder="1" applyAlignment="1">
      <x:alignment vertical="center"/>
    </x:xf>
    <x:xf numFmtId="0" fontId="1" fillId="5" borderId="1" xfId="0" applyNumberFormat="1" applyFont="1" applyFill="1" applyBorder="1" applyAlignment="1">
      <x:alignment vertical="center"/>
    </x:xf>
    <x:xf numFmtId="0" fontId="7" fillId="5" borderId="0" xfId="0" applyNumberFormat="1" applyFont="1" applyFill="1" applyBorder="1" applyAlignment="1">
      <x:alignment vertical="center"/>
    </x:xf>
    <x:xf numFmtId="0" fontId="7" fillId="5" borderId="1" xfId="0" applyNumberFormat="1" applyFont="1" applyFill="1" applyBorder="1" applyAlignment="1">
      <x:alignment vertical="center"/>
    </x:xf>
    <x:xf numFmtId="202" fontId="7" fillId="5" borderId="0" xfId="0" applyNumberFormat="1" applyFont="1" applyFill="1" applyBorder="1" applyAlignment="1">
      <x:alignment vertical="center"/>
    </x:xf>
    <x:xf numFmtId="202" fontId="7" fillId="5" borderId="1" xfId="0" applyNumberFormat="1" applyFont="1" applyFill="1" applyBorder="1" applyAlignment="1">
      <x:alignment vertical="center"/>
    </x:xf>
    <x:xf numFmtId="201" fontId="7" fillId="5" borderId="0" xfId="0" applyNumberFormat="1" applyFont="1" applyFill="1" applyBorder="1" applyAlignment="1">
      <x:alignment vertical="center"/>
    </x:xf>
    <x:xf numFmtId="201" fontId="7" fillId="5" borderId="1" xfId="0" applyNumberFormat="1" applyFont="1" applyFill="1" applyBorder="1" applyAlignment="1">
      <x:alignment vertical="center"/>
    </x:xf>
    <x:xf numFmtId="0" fontId="6" fillId="5" borderId="0" xfId="0" applyNumberFormat="1" applyFont="1" applyFill="1" applyBorder="1" applyAlignment="1">
      <x:alignment vertical="center"/>
    </x:xf>
    <x:xf numFmtId="0" fontId="6" fillId="5" borderId="0" xfId="0" applyNumberFormat="1" applyFont="1" applyFill="1" applyBorder="1" applyAlignment="1">
      <x:alignment vertical="center" wrapText="1"/>
    </x:xf>
    <x:xf numFmtId="0" fontId="6" fillId="5" borderId="1" xfId="0" applyNumberFormat="1" applyFont="1" applyFill="1" applyBorder="1" applyAlignment="1">
      <x:alignment vertical="center"/>
    </x:xf>
    <x:xf numFmtId="0" fontId="6" fillId="5" borderId="1" xfId="0" applyNumberFormat="1" applyFont="1" applyFill="1" applyBorder="1" applyAlignment="1">
      <x:alignment vertical="center" wrapText="1"/>
    </x:xf>
    <x:xf numFmtId="0" fontId="8" fillId="5" borderId="0" xfId="0" applyNumberFormat="1" applyFont="1" applyFill="1" applyBorder="1" applyAlignment="1">
      <x:alignment vertical="center" wrapText="1"/>
    </x:xf>
    <x:xf numFmtId="0" fontId="8" fillId="5" borderId="1" xfId="0" applyNumberFormat="1" applyFont="1" applyFill="1" applyBorder="1" applyAlignment="1">
      <x:alignment vertical="center" wrapText="1"/>
    </x:xf>
    <x:xf numFmtId="202" fontId="8" fillId="5" borderId="0" xfId="0" applyNumberFormat="1" applyFont="1" applyFill="1" applyBorder="1" applyAlignment="1">
      <x:alignment vertical="center" wrapText="1"/>
    </x:xf>
    <x:xf numFmtId="202" fontId="7" fillId="5" borderId="0" xfId="0" applyNumberFormat="1" applyFont="1" applyFill="1" applyBorder="1" applyAlignment="1">
      <x:alignment vertical="center" wrapText="1"/>
    </x:xf>
    <x:xf numFmtId="202" fontId="8" fillId="5" borderId="1" xfId="0" applyNumberFormat="1" applyFont="1" applyFill="1" applyBorder="1" applyAlignment="1">
      <x:alignment vertical="center" wrapText="1"/>
    </x:xf>
    <x:xf numFmtId="202" fontId="7" fillId="5" borderId="1" xfId="0" applyNumberFormat="1" applyFont="1" applyFill="1" applyBorder="1" applyAlignment="1">
      <x:alignment vertical="center" wrapText="1"/>
    </x:xf>
    <x:xf numFmtId="0" fontId="1" fillId="6" borderId="0" xfId="0" applyNumberFormat="1" applyFont="1" applyFill="1" applyBorder="1" applyAlignment="1">
      <x:alignment vertical="center"/>
    </x:xf>
    <x:xf numFmtId="0" fontId="6" fillId="6" borderId="0" xfId="0" applyNumberFormat="1" applyFont="1" applyFill="1" applyBorder="1" applyAlignment="1">
      <x:alignment vertical="center"/>
    </x:xf>
    <x:xf numFmtId="0" fontId="1" fillId="6" borderId="0" xfId="0" applyNumberFormat="1" applyFont="1" applyFill="1" applyBorder="1" applyAlignment="1">
      <x:alignment vertical="center" wrapText="1"/>
    </x:xf>
    <x:xf numFmtId="0" fontId="6" fillId="6" borderId="0" xfId="0" applyNumberFormat="1" applyFont="1" applyFill="1" applyBorder="1" applyAlignment="1">
      <x:alignment vertical="center" wrapText="1"/>
    </x:xf>
    <x:xf numFmtId="0" fontId="1" fillId="6" borderId="1" xfId="0" applyNumberFormat="1" applyFont="1" applyFill="1" applyBorder="1" applyAlignment="1">
      <x:alignment vertical="center"/>
    </x:xf>
    <x:xf numFmtId="0" fontId="6" fillId="6" borderId="1" xfId="0" applyNumberFormat="1" applyFont="1" applyFill="1" applyBorder="1" applyAlignment="1">
      <x:alignment vertical="center"/>
    </x:xf>
    <x:xf numFmtId="0" fontId="1" fillId="6" borderId="1" xfId="0" applyNumberFormat="1" applyFont="1" applyFill="1" applyBorder="1" applyAlignment="1">
      <x:alignment vertical="center" wrapText="1"/>
    </x:xf>
    <x:xf numFmtId="0" fontId="6" fillId="6" borderId="1" xfId="0" applyNumberFormat="1" applyFont="1" applyFill="1" applyBorder="1" applyAlignment="1">
      <x:alignment vertical="center" wrapText="1"/>
    </x:xf>
    <x:xf numFmtId="0" fontId="8" fillId="6" borderId="0" xfId="0" applyNumberFormat="1" applyFont="1" applyFill="1" applyBorder="1" applyAlignment="1">
      <x:alignment vertical="center" wrapText="1"/>
    </x:xf>
    <x:xf numFmtId="0" fontId="7" fillId="6" borderId="0" xfId="0" applyNumberFormat="1" applyFont="1" applyFill="1" applyBorder="1" applyAlignment="1">
      <x:alignment vertical="center" wrapText="1"/>
    </x:xf>
    <x:xf numFmtId="0" fontId="8" fillId="6" borderId="1" xfId="0" applyNumberFormat="1" applyFont="1" applyFill="1" applyBorder="1" applyAlignment="1">
      <x:alignment vertical="center" wrapText="1"/>
    </x:xf>
    <x:xf numFmtId="0" fontId="7" fillId="6" borderId="1" xfId="0" applyNumberFormat="1" applyFont="1" applyFill="1" applyBorder="1" applyAlignment="1">
      <x:alignment vertical="center" wrapText="1"/>
    </x:xf>
    <x:xf numFmtId="200" fontId="8" fillId="6" borderId="0" xfId="0" applyNumberFormat="1" applyFont="1" applyFill="1" applyBorder="1" applyAlignment="1">
      <x:alignment vertical="center" wrapText="1"/>
    </x:xf>
    <x:xf numFmtId="200" fontId="7" fillId="6" borderId="0" xfId="0" applyNumberFormat="1" applyFont="1" applyFill="1" applyBorder="1" applyAlignment="1">
      <x:alignment vertical="center" wrapText="1"/>
    </x:xf>
    <x:xf numFmtId="200" fontId="8" fillId="6" borderId="1" xfId="0" applyNumberFormat="1" applyFont="1" applyFill="1" applyBorder="1" applyAlignment="1">
      <x:alignment vertical="center" wrapText="1"/>
    </x:xf>
    <x:xf numFmtId="200" fontId="7" fillId="6" borderId="1" xfId="0" applyNumberFormat="1" applyFont="1" applyFill="1" applyBorder="1" applyAlignment="1">
      <x:alignment vertical="center" wrapText="1"/>
    </x:xf>
    <x:xf numFmtId="200" fontId="8" fillId="5" borderId="0" xfId="0" applyNumberFormat="1" applyFont="1" applyFill="1" applyBorder="1" applyAlignment="1">
      <x:alignment vertical="center" wrapText="1"/>
    </x:xf>
    <x:xf numFmtId="200" fontId="7" fillId="5" borderId="0" xfId="0" applyNumberFormat="1" applyFont="1" applyFill="1" applyBorder="1" applyAlignment="1">
      <x:alignment vertical="center" wrapText="1"/>
    </x:xf>
    <x:xf numFmtId="200" fontId="8" fillId="5" borderId="1" xfId="0" applyNumberFormat="1" applyFont="1" applyFill="1" applyBorder="1" applyAlignment="1">
      <x:alignment vertical="center" wrapText="1"/>
    </x:xf>
    <x:xf numFmtId="200" fontId="7" fillId="5" borderId="1" xfId="0" applyNumberFormat="1" applyFont="1" applyFill="1" applyBorder="1" applyAlignment="1">
      <x:alignment vertical="center" wrapText="1"/>
    </x:xf>
    <x:xf numFmtId="0" fontId="1" fillId="7" borderId="0" xfId="0" applyNumberFormat="1" applyFont="1" applyFill="1" applyBorder="1" applyAlignment="1">
      <x:alignment vertical="center"/>
    </x:xf>
    <x:xf numFmtId="0" fontId="1" fillId="7" borderId="0" xfId="0" applyNumberFormat="1" applyFont="1" applyFill="1" applyBorder="1" applyAlignment="1">
      <x:alignment vertical="center" wrapText="1"/>
    </x:xf>
    <x:xf numFmtId="0" fontId="1" fillId="7" borderId="1" xfId="0" applyNumberFormat="1" applyFont="1" applyFill="1" applyBorder="1" applyAlignment="1">
      <x:alignment vertical="center"/>
    </x:xf>
    <x:xf numFmtId="0" fontId="1" fillId="7" borderId="1" xfId="0" applyNumberFormat="1" applyFont="1" applyFill="1" applyBorder="1" applyAlignment="1">
      <x:alignment vertical="center" wrapText="1"/>
    </x:xf>
  </x:cellXfs>
  <x:cellStyles count="1">
    <x:cellStyle name="Normal" xfId="0"/>
  </x:cellStyles>
  <x:dxfs count="4">
    <x:dxf>
      <x:fill>
        <x:patternFill patternType="solid">
          <x:bgColor rgb="FFFBE7E5"/>
        </x:patternFill>
      </x:fill>
    </x:dxf>
    <x:dxf>
      <x:fill>
        <x:patternFill patternType="solid">
          <x:bgColor rgb="FFFBE7E5"/>
        </x:patternFill>
      </x:fill>
    </x:dxf>
    <x:dxf>
      <x:fill>
        <x:patternFill patternType="solid">
          <x:bgColor rgb="FFFBE7E5"/>
        </x:patternFill>
      </x:fill>
    </x:dxf>
    <x:dxf>
      <x:fill>
        <x:patternFill patternType="solid">
          <x:bgColor rgb="FFFBE7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ddd3637e07d47e3" /><Relationship Type="http://schemas.openxmlformats.org/officeDocument/2006/relationships/theme" Target="/xl/theme/theme1.xml" Id="Ra4d4be19fea1465f" /><Relationship Type="http://schemas.openxmlformats.org/officeDocument/2006/relationships/sharedStrings" Target="/xl/sharedStrings.xml" Id="Rdaae3a02d54a48a4" /><Relationship Type="http://schemas.openxmlformats.org/officeDocument/2006/relationships/worksheet" Target="/xl/worksheets/sheet1.xml" Id="R3ee4610f605442a6" /><Relationship Type="http://schemas.openxmlformats.org/officeDocument/2006/relationships/worksheet" Target="/xl/worksheets/sheet2.xml" Id="Rab7d5b7c0b67453f" /><Relationship Type="http://schemas.openxmlformats.org/officeDocument/2006/relationships/worksheet" Target="/xl/worksheets/sheet3.xml" Id="R870eecd9a7484424" /><Relationship Type="http://schemas.openxmlformats.org/officeDocument/2006/relationships/worksheet" Target="/xl/worksheets/sheet4.xml" Id="R8689013d25414978" /><Relationship Type="http://schemas.openxmlformats.org/officeDocument/2006/relationships/worksheet" Target="/xl/worksheets/sheet5.xml" Id="R026a955ea8574608" /><Relationship Type="http://schemas.openxmlformats.org/officeDocument/2006/relationships/worksheet" Target="/xl/worksheets/sheet6.xml" Id="Race0b83015fc4319" /><Relationship Type="http://schemas.openxmlformats.org/officeDocument/2006/relationships/worksheet" Target="/xl/worksheets/sheet7.xml" Id="R1c7918920f564e93" /><Relationship Type="http://schemas.openxmlformats.org/officeDocument/2006/relationships/worksheet" Target="/xl/worksheets/sheet8.xml" Id="R4a5bcd4075bd41f2" /><Relationship Type="http://schemas.microsoft.com/office/2017/10/relationships/person" Target="/xl/persons/person.xml" Id="Rbeec35e38b1c4f53" /></Relationships>
</file>

<file path=xl/persons/person.xml><?xml version="1.0" encoding="utf-8"?>
<xltc:personList xmlns:xltc="http://schemas.microsoft.com/office/spreadsheetml/2018/threadedcomments">
  <xltc:person displayName="Planning Model" id="{DC4556E8-C492-4F9A-AC32-61C9933F7D54}"/>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C5" dT="2026-09-05T00:26:55.173" personId="{DC4556E8-C492-4F9A-AC32-61C9933F7D54}" id="{71B3828B-FDB8-E9BF-D870-850DC406483D}">
    <xltc:text>Nguồn: giả định lập kế hoạch, không phải báo giá hoặc thống kê thị trường. Giả định vận hành 6 ngày/tuần; chưa tính mùa thấp điểm.</xltc:text>
  </xltc:threadedComment>
  <xltc:threadedComment ref="C6" dT="2026-09-05T00:26:55.173" personId="{DC4556E8-C492-4F9A-AC32-61C9933F7D54}" id="{2CDC36D9-D32C-C530-14B2-C9637B1044DF}">
    <xltc:text>Nguồn: giả định lập kế hoạch, không phải báo giá hoặc thống kê thị trường. Khung vận hành; không có lưu trú qua đêm.</xltc:text>
  </xltc:threadedComment>
  <xltc:threadedComment ref="C7" dT="2026-09-05T00:26:55.173" personId="{DC4556E8-C492-4F9A-AC32-61C9933F7D54}" id="{9A9E5A7C-BC73-41A9-CA81-E02163223562}">
    <xltc:text>Nguồn: giả định lập kế hoạch, không phải báo giá hoặc thống kê thị trường. Giả định: 50% gói 1,2 triệu; 50% gói 2,0 triệu. Chưa kiểm chứng giá.</xltc:text>
  </xltc:threadedComment>
  <xltc:threadedComment ref="C8" dT="2026-09-05T00:26:55.173" personId="{DC4556E8-C492-4F9A-AC32-61C9933F7D54}" id="{38EBFEAB-68A2-FD25-EA80-FD0275FC4C8F}">
    <xltc:text>Nguồn: giả định lập kế hoạch, không phải báo giá hoặc thống kê thị trường. 50% gói 8 lượt; 50% gói 12 lượt. Tính dùng hết quyền lợi.</xltc:text>
  </xltc:threadedComment>
  <xltc:threadedComment ref="C9" dT="2026-09-05T00:26:55.173" personId="{DC4556E8-C492-4F9A-AC32-61C9933F7D54}" id="{6D9445BE-008A-47E9-771C-78C15356F535}">
    <xltc:text>Nguồn: giả định lập kế hoạch, không phải báo giá hoặc thống kê thị trường. Không bán quyền đến không giới hạn.</xltc:text>
  </xltc:threadedComment>
  <xltc:threadedComment ref="C10" dT="2026-09-05T00:26:55.173" personId="{DC4556E8-C492-4F9A-AC32-61C9933F7D54}" id="{DFD4A3CA-4FD7-E041-6FBA-3A4860835290}">
    <xltc:text>Nguồn: giả định lập kế hoạch, không phải báo giá hoặc thống kê thị trường. Trà, vật tư, vệ sinh; nhân sự và giáo viên đã nằm trong quỹ nhân sự.</xltc:text>
  </xltc:threadedComment>
  <xltc:threadedComment ref="C11" dT="2026-09-05T00:26:55.173" personId="{DC4556E8-C492-4F9A-AC32-61C9933F7D54}" id="{EA354061-4D0A-971F-0BCB-BED82DF5CBED}">
    <xltc:text>Nguồn: giả định lập kế hoạch, không phải báo giá hoặc thống kê thị trường. Phương án có điều kiện: 50% gói 4,2 triệu; 50% gói 6,8 triệu.</xltc:text>
  </xltc:threadedComment>
  <xltc:threadedComment ref="C12" dT="2026-09-05T00:26:55.173" personId="{DC4556E8-C492-4F9A-AC32-61C9933F7D54}" id="{9146AC1F-B9B7-C044-25D7-BF1FB4F56928}">
    <xltc:text>Nguồn: giả định lập kế hoạch, không phải báo giá hoặc thống kê thị trường. Trung bình gói 12 và 20 ngày; khách này không tính thêm hội viên CLB.</xltc:text>
  </xltc:threadedComment>
  <xltc:threadedComment ref="C13" dT="2026-09-05T00:26:55.173" personId="{DC4556E8-C492-4F9A-AC32-61C9933F7D54}" id="{179C44A0-FE0A-83C0-5486-3BA6369A77BE}">
    <xltc:text>Nguồn: giả định lập kế hoạch, không phải báo giá hoặc thống kê thị trường. Giả định thử tài chính, không xác nhận điều kiện tiếp nhận.</xltc:text>
  </xltc:threadedComment>
  <xltc:threadedComment ref="C14" dT="2026-09-05T00:26:55.173" personId="{DC4556E8-C492-4F9A-AC32-61C9933F7D54}" id="{6B032B20-03B1-EB30-3967-024D105DDF9F}">
    <xltc:text>Nguồn: giả định lập kế hoạch, không phải báo giá hoặc thống kê thị trường. Bữa ăn và tiêu hao cơ bản; chưa gồm vận chuyển và chăm sóc chuyên biệt.</xltc:text>
  </xltc:threadedComment>
  <xltc:threadedComment ref="C15" dT="2026-09-05T00:26:55.173" personId="{DC4556E8-C492-4F9A-AC32-61C9933F7D54}" id="{B712F2CA-D255-7E7D-584A-199B191797A4}">
    <xltc:text>Nguồn: giả định lập kế hoạch, không phải báo giá hoặc thống kê thị trường. Lớp chuyên đề / dịch vụ bổ sung; chưa có hợp đồng doanh thu.</xltc:text>
  </xltc:threadedComment>
  <xltc:threadedComment ref="C16" dT="2026-09-05T00:26:55.173" personId="{DC4556E8-C492-4F9A-AC32-61C9933F7D54}" id="{D2F82C32-9265-FB9C-28FF-8D4420B473E5}">
    <xltc:text>Nguồn: giả định lập kế hoạch, không phải báo giá hoặc thống kê thị trường. Chưa có báo giá. Phải thay bằng hợp đồng thực tế, gồm phí quản lý.</xltc:text>
  </xltc:threadedComment>
  <xltc:threadedComment ref="C17" dT="2026-09-05T00:26:55.173" personId="{DC4556E8-C492-4F9A-AC32-61C9933F7D54}" id="{026E6F1D-866C-11E1-B406-12F9701C2A65}">
    <xltc:text>Nguồn: giả định lập kế hoạch, không phải báo giá hoặc thống kê thị trường. Dự toán nội bộ, cần kiểm tra hệ điều hòa và đồng hồ riêng.</xltc:text>
  </xltc:threadedComment>
  <xltc:threadedComment ref="C18" dT="2026-09-05T00:26:55.173" personId="{DC4556E8-C492-4F9A-AC32-61C9933F7D54}" id="{F19B92C6-3AA9-28FB-3E58-539A7E6C0F95}">
    <xltc:text>Nguồn: giả định lập kế hoạch, không phải báo giá hoặc thống kê thị trường. Không gồm nhân sự đã tính trong payroll.</xltc:text>
  </xltc:threadedComment>
  <xltc:threadedComment ref="C19" dT="2026-09-05T00:26:55.173" personId="{DC4556E8-C492-4F9A-AC32-61C9933F7D54}" id="{8B8637ED-485F-9C97-A003-68D65816DDE2}">
    <xltc:text>Nguồn: giả định lập kế hoạch, không phải báo giá hoặc thống kê thị trường. Cần báo giá bảo hiểm và dịch vụ kế toán theo phạm vi hoạt động.</xltc:text>
  </xltc:threadedComment>
  <xltc:threadedComment ref="C20" dT="2026-09-05T00:26:55.173" personId="{DC4556E8-C492-4F9A-AC32-61C9933F7D54}" id="{2CB67742-A758-F571-5058-B2934D65A873}">
    <xltc:text>Nguồn: giả định lập kế hoạch, không phải báo giá hoặc thống kê thị trường. Không thay thế dự phòng đầu tư ban đầu.</xltc:text>
  </xltc:threadedComment>
  <xltc:threadedComment ref="C22" dT="2026-09-05T00:26:55.173" personId="{DC4556E8-C492-4F9A-AC32-61C9933F7D54}" id="{AA11EB59-B93E-A854-0EB5-5B6DC97A3B96}">
    <xltc:text>Nguồn: giả định lập kế hoạch, không phải báo giá hoặc thống kê thị trường. Chỉ để mô phỏng. Giới hạn thật do thiết kế, PCCC, nhân sự và thoát nạn quyết định.</xltc:text>
  </xltc:threadedComment>
  <xltc:threadedComment ref="C23" dT="2026-09-05T00:26:55.173" personId="{DC4556E8-C492-4F9A-AC32-61C9933F7D54}" id="{E2230D33-E66A-88AE-0FAF-0CB780FFA2B1}">
    <xltc:text>Nguồn: giả định lập kế hoạch, không phải báo giá hoặc thống kê thị trường. Chỉ giả định kinh tế. Chưa thẩm định pháp lý, diện tích hay sơ tán ở tầng 5.</xltc:text>
  </xltc:threadedComment>
  <xltc:threadedComment ref="C24" dT="2026-09-05T00:26:55.173" personId="{DC4556E8-C492-4F9A-AC32-61C9933F7D54}" id="{EF9E3C1C-25C9-0BF5-9B17-B3A6CBB02A72}">
    <xltc:text>Nguồn: giả định lập kế hoạch, không phải báo giá hoặc thống kê thị trường. Giả định để thấy số khách mới cần bù; chưa có dữ liệu cohort.</xltc:text>
  </xltc:threadedComment>
  <xltc:threadedComment ref="C25" dT="2026-09-05T00:26:55.173" personId="{DC4556E8-C492-4F9A-AC32-61C9933F7D54}" id="{44C4C1C2-3FC4-BF1E-B80D-557B9C0EEFEA}">
    <xltc:text>Nguồn: giả định lập kế hoạch, không phải báo giá hoặc thống kê thị trường. Ngưỡng quản trị nội bộ; không phải quy định hay bảo đảm đủ vốn.</xltc:text>
  </xltc:threadedComment>
  <xltc:threadedComment ref="C26" dT="2026-09-05T00:26:55.173" personId="{DC4556E8-C492-4F9A-AC32-61C9933F7D54}" id="{3D911380-C8C6-F59B-001E-7A428DE53AFC}">
    <xltc:text>Nguồn: giả định lập kế hoạch, không phải báo giá hoặc thống kê thị trường. Giả định; cần điều khoản hoàn cọc nếu không đáp ứng điều kiện triển khai.</xltc:text>
  </xltc:threadedComment>
  <xltc:threadedComment ref="C27" dT="2026-09-05T00:26:55.173" personId="{DC4556E8-C492-4F9A-AC32-61C9933F7D54}" id="{E222D988-BDDD-F5FA-C401-CB231EDC9999}">
    <xltc:text>Nguồn: giả định lập kế hoạch, không phải báo giá hoặc thống kê thị trường. Cần báo giá và khảo sát hiện trạng trước khi chốt.</xltc:text>
  </xltc:threadedComment>
  <xltc:threadedComment ref="C29" dT="2026-09-05T00:26:55.173" personId="{DC4556E8-C492-4F9A-AC32-61C9933F7D54}" id="{CCA734E2-3816-0D89-C7A0-7BF25D98423A}">
    <xltc:text>Nguồn: người dùng, chưa đo đạc. Nguồn: người dùng. Chưa biết diện tích sử dụng thuần hay diện tích sàn.</xltc:text>
  </xltc:threadedComment>
  <xltc:threadedComment ref="C30" dT="2026-09-05T00:26:55.173" personId="{DC4556E8-C492-4F9A-AC32-61C9933F7D54}" id="{B8AAE1E6-1A9C-ABEC-A0C0-F8088B72D709}">
    <xltc:text>Nguồn: giả định lập kế hoạch, không phải báo giá hoặc thống kê thị trường. Không được coi kịch bản bán trú là phương án đã được phép triển khai.</xltc:text>
  </xltc:threadedComment>
  <xltc:threadedComment ref="B36" dT="2026-09-05T00:26:55.173" personId="{DC4556E8-C492-4F9A-AC32-61C9933F7D54}" id="{5BE3DE8F-0823-D3FE-49C2-A8361AB13521}">
    <xltc:text>Nguồn: giả định kịch bản nội bộ ngày 05/09/2026; chưa phải kết quả khảo sát, báo giá hay dự báo cam kết.</xltc:text>
  </xltc:threadedComment>
  <xltc:threadedComment ref="C36" dT="2026-09-05T00:26:55.173" personId="{DC4556E8-C492-4F9A-AC32-61C9933F7D54}" id="{CD5205B5-CF36-7529-9380-FB400C18A508}">
    <xltc:text>Nguồn: giả định kịch bản nội bộ ngày 05/09/2026; chưa phải kết quả khảo sát, báo giá hay dự báo cam kết.</xltc:text>
  </xltc:threadedComment>
  <xltc:threadedComment ref="D36" dT="2026-09-05T00:26:55.173" personId="{DC4556E8-C492-4F9A-AC32-61C9933F7D54}" id="{C9F088B2-3C27-8BE9-57C6-4EE775BA33FA}">
    <xltc:text>Nguồn: giả định kịch bản nội bộ ngày 05/09/2026; chưa phải kết quả khảo sát, báo giá hay dự báo cam kết.</xltc:text>
  </xltc:threadedComment>
  <xltc:threadedComment ref="B37" dT="2026-09-05T00:26:55.173" personId="{DC4556E8-C492-4F9A-AC32-61C9933F7D54}" id="{CE4D8851-30E1-B782-F679-4FEF64DBFDCC}">
    <xltc:text>Nguồn: giả định kịch bản nội bộ ngày 05/09/2026; chưa phải kết quả khảo sát, báo giá hay dự báo cam kết.</xltc:text>
  </xltc:threadedComment>
  <xltc:threadedComment ref="C37" dT="2026-09-05T00:26:55.173" personId="{DC4556E8-C492-4F9A-AC32-61C9933F7D54}" id="{EAA5042F-0ADB-E993-2072-9C951E537122}">
    <xltc:text>Nguồn: giả định kịch bản nội bộ ngày 05/09/2026; chưa phải kết quả khảo sát, báo giá hay dự báo cam kết.</xltc:text>
  </xltc:threadedComment>
  <xltc:threadedComment ref="D37" dT="2026-09-05T00:26:55.173" personId="{DC4556E8-C492-4F9A-AC32-61C9933F7D54}" id="{CD3E7F4D-D859-2540-497D-03FA9045AEFD}">
    <xltc:text>Nguồn: giả định kịch bản nội bộ ngày 05/09/2026; chưa phải kết quả khảo sát, báo giá hay dự báo cam kết.</xltc:text>
  </xltc:threadedComment>
  <xltc:threadedComment ref="B38" dT="2026-09-05T00:26:55.173" personId="{DC4556E8-C492-4F9A-AC32-61C9933F7D54}" id="{5B1B95D5-9915-35CC-1D64-F47EB9708061}">
    <xltc:text>Nguồn: giả định kịch bản nội bộ ngày 05/09/2026; chưa phải kết quả khảo sát, báo giá hay dự báo cam kết.</xltc:text>
  </xltc:threadedComment>
  <xltc:threadedComment ref="C38" dT="2026-09-05T00:26:55.173" personId="{DC4556E8-C492-4F9A-AC32-61C9933F7D54}" id="{D3103060-6B9A-B382-6D99-5EBEF5B8D3E1}">
    <xltc:text>Nguồn: giả định kịch bản nội bộ ngày 05/09/2026; chưa phải kết quả khảo sát, báo giá hay dự báo cam kết.</xltc:text>
  </xltc:threadedComment>
  <xltc:threadedComment ref="D38" dT="2026-09-05T00:26:55.173" personId="{DC4556E8-C492-4F9A-AC32-61C9933F7D54}" id="{E02B7D5E-7FD7-7DBA-2879-00F25E493046}">
    <xltc:text>Nguồn: giả định kịch bản nội bộ ngày 05/09/2026; chưa phải kết quả khảo sát, báo giá hay dự báo cam kết.</xltc:text>
  </xltc:threadedComment>
  <xltc:threadedComment ref="B39" dT="2026-09-05T00:26:55.174" personId="{DC4556E8-C492-4F9A-AC32-61C9933F7D54}" id="{2343AA3A-4D3A-552F-7D1B-67C0C613C287}">
    <xltc:text>Nguồn: giả định kịch bản nội bộ ngày 05/09/2026; chưa phải kết quả khảo sát, báo giá hay dự báo cam kết.</xltc:text>
  </xltc:threadedComment>
  <xltc:threadedComment ref="C39" dT="2026-09-05T00:26:55.174" personId="{DC4556E8-C492-4F9A-AC32-61C9933F7D54}" id="{57BEEC4A-EED8-81AF-27F7-9D34C526F9E3}">
    <xltc:text>Nguồn: giả định kịch bản nội bộ ngày 05/09/2026; chưa phải kết quả khảo sát, báo giá hay dự báo cam kết.</xltc:text>
  </xltc:threadedComment>
  <xltc:threadedComment ref="D39" dT="2026-09-05T00:26:55.174" personId="{DC4556E8-C492-4F9A-AC32-61C9933F7D54}" id="{A36FEB66-FDAD-645B-DD1B-BA686A945FB0}">
    <xltc:text>Nguồn: giả định kịch bản nội bộ ngày 05/09/2026; chưa phải kết quả khảo sát, báo giá hay dự báo cam kết.</xltc:text>
  </xltc:threadedComment>
  <xltc:threadedComment ref="B40" dT="2026-09-05T00:26:55.174" personId="{DC4556E8-C492-4F9A-AC32-61C9933F7D54}" id="{14B7B415-28A0-7E22-1FD2-82E8E12FCE71}">
    <xltc:text>Nguồn: giả định kịch bản nội bộ ngày 05/09/2026; chưa phải kết quả khảo sát, báo giá hay dự báo cam kết.</xltc:text>
  </xltc:threadedComment>
  <xltc:threadedComment ref="C40" dT="2026-09-05T00:26:55.174" personId="{DC4556E8-C492-4F9A-AC32-61C9933F7D54}" id="{3C1CCB59-4A34-E4CC-4C31-C0DA20885E79}">
    <xltc:text>Nguồn: giả định kịch bản nội bộ ngày 05/09/2026; chưa phải kết quả khảo sát, báo giá hay dự báo cam kết.</xltc:text>
  </xltc:threadedComment>
  <xltc:threadedComment ref="D40" dT="2026-09-05T00:26:55.174" personId="{DC4556E8-C492-4F9A-AC32-61C9933F7D54}" id="{8A6337BD-0075-A0A0-ACFD-C8AC9D5FBF62}">
    <xltc:text>Nguồn: giả định kịch bản nội bộ ngày 05/09/2026; chưa phải kết quả khảo sát, báo giá hay dự báo cam kết.</xltc:text>
  </xltc:threadedComment>
  <xltc:threadedComment ref="B41" dT="2026-09-05T00:26:55.174" personId="{DC4556E8-C492-4F9A-AC32-61C9933F7D54}" id="{D23D1B35-BE11-34E3-BD58-42268ED3AD66}">
    <xltc:text>Nguồn: giả định kịch bản nội bộ ngày 05/09/2026; chưa phải kết quả khảo sát, báo giá hay dự báo cam kết.</xltc:text>
  </xltc:threadedComment>
  <xltc:threadedComment ref="C41" dT="2026-09-05T00:26:55.174" personId="{DC4556E8-C492-4F9A-AC32-61C9933F7D54}" id="{30062BCC-AB40-91FD-9A76-C727A400342D}">
    <xltc:text>Nguồn: giả định kịch bản nội bộ ngày 05/09/2026; chưa phải kết quả khảo sát, báo giá hay dự báo cam kết.</xltc:text>
  </xltc:threadedComment>
  <xltc:threadedComment ref="D41" dT="2026-09-05T00:26:55.174" personId="{DC4556E8-C492-4F9A-AC32-61C9933F7D54}" id="{BCF040A4-6080-70AE-332A-9408E1A37DF3}">
    <xltc:text>Nguồn: giả định kịch bản nội bộ ngày 05/09/2026; chưa phải kết quả khảo sát, báo giá hay dự báo cam kết.</xltc:text>
  </xltc:threadedComment>
  <xltc:threadedComment ref="B42" dT="2026-09-05T00:26:55.174" personId="{DC4556E8-C492-4F9A-AC32-61C9933F7D54}" id="{D131D8C8-9B16-5C58-EB79-EB00692A3FEB}">
    <xltc:text>Nguồn: giả định kịch bản nội bộ ngày 05/09/2026; chưa phải kết quả khảo sát, báo giá hay dự báo cam kết.</xltc:text>
  </xltc:threadedComment>
  <xltc:threadedComment ref="C42" dT="2026-09-05T00:26:55.174" personId="{DC4556E8-C492-4F9A-AC32-61C9933F7D54}" id="{4DB5AE78-8B4E-A924-C94E-7FD427D5A064}">
    <xltc:text>Nguồn: giả định kịch bản nội bộ ngày 05/09/2026; chưa phải kết quả khảo sát, báo giá hay dự báo cam kết.</xltc:text>
  </xltc:threadedComment>
  <xltc:threadedComment ref="D42" dT="2026-09-05T00:26:55.174" personId="{DC4556E8-C492-4F9A-AC32-61C9933F7D54}" id="{7E8029F3-6D36-90F5-B59C-073F47BAA01B}">
    <xltc:text>Nguồn: giả định kịch bản nội bộ ngày 05/09/2026; chưa phải kết quả khảo sát, báo giá hay dự báo cam kết.</xltc:text>
  </xltc:threadedComment>
  <xltc:threadedComment ref="B43" dT="2026-09-05T00:26:55.174" personId="{DC4556E8-C492-4F9A-AC32-61C9933F7D54}" id="{A2D80214-64FC-8DEC-0AA4-ADAA9F54F502}">
    <xltc:text>Nguồn: giả định kịch bản nội bộ ngày 05/09/2026; chưa phải kết quả khảo sát, báo giá hay dự báo cam kết.</xltc:text>
  </xltc:threadedComment>
  <xltc:threadedComment ref="C43" dT="2026-09-05T00:26:55.174" personId="{DC4556E8-C492-4F9A-AC32-61C9933F7D54}" id="{BC3E03CF-1B94-4FF6-50F6-C3F9C79177FC}">
    <xltc:text>Nguồn: giả định kịch bản nội bộ ngày 05/09/2026; chưa phải kết quả khảo sát, báo giá hay dự báo cam kết.</xltc:text>
  </xltc:threadedComment>
  <xltc:threadedComment ref="D43" dT="2026-09-05T00:26:55.174" personId="{DC4556E8-C492-4F9A-AC32-61C9933F7D54}" id="{DB340DB8-F411-056E-85B0-6F563CA1E119}">
    <xltc:text>Nguồn: giả định kịch bản nội bộ ngày 05/09/2026; chưa phải kết quả khảo sát, báo giá hay dự báo cam kết.</xltc:text>
  </xltc:threadedComment>
  <xltc:threadedComment ref="B47" dT="2026-09-05T00:26:55.174" personId="{DC4556E8-C492-4F9A-AC32-61C9933F7D54}" id="{15A1E813-FDB4-2B6A-D5B9-41BD1612B19A}">
    <xltc:text>Nguồn: lộ trình tăng trưởng minh họa, chưa kiểm chứng. Không suy ra xác suất đạt từ mô hình.</xltc:text>
  </xltc:threadedComment>
  <xltc:threadedComment ref="C47" dT="2026-09-05T00:26:55.174" personId="{DC4556E8-C492-4F9A-AC32-61C9933F7D54}" id="{9137C5A0-53DA-9017-94CF-89CC8ECE4B65}">
    <xltc:text>Nguồn: lộ trình tăng trưởng minh họa, chưa kiểm chứng. Không suy ra xác suất đạt từ mô hình.</xltc:text>
  </xltc:threadedComment>
  <xltc:threadedComment ref="D47" dT="2026-09-05T00:26:55.174" personId="{DC4556E8-C492-4F9A-AC32-61C9933F7D54}" id="{6FD71F2E-8926-78C3-69FA-A6A130AE13D5}">
    <xltc:text>Nguồn: lộ trình tăng trưởng minh họa, chưa kiểm chứng. Không suy ra xác suất đạt từ mô hình.</xltc:text>
  </xltc:threadedComment>
  <xltc:threadedComment ref="B48" dT="2026-09-05T00:26:55.174" personId="{DC4556E8-C492-4F9A-AC32-61C9933F7D54}" id="{6CC0C373-03AE-27A1-0C30-6CE254DCFE11}">
    <xltc:text>Nguồn: lộ trình tăng trưởng minh họa, chưa kiểm chứng. Không suy ra xác suất đạt từ mô hình.</xltc:text>
  </xltc:threadedComment>
  <xltc:threadedComment ref="C48" dT="2026-09-05T00:26:55.174" personId="{DC4556E8-C492-4F9A-AC32-61C9933F7D54}" id="{EF71EE96-886F-7EFA-9DDD-71352F743280}">
    <xltc:text>Nguồn: lộ trình tăng trưởng minh họa, chưa kiểm chứng. Không suy ra xác suất đạt từ mô hình.</xltc:text>
  </xltc:threadedComment>
  <xltc:threadedComment ref="D48" dT="2026-09-05T00:26:55.174" personId="{DC4556E8-C492-4F9A-AC32-61C9933F7D54}" id="{5C49A6A6-3661-6E94-9183-0D13BAAB7BEF}">
    <xltc:text>Nguồn: lộ trình tăng trưởng minh họa, chưa kiểm chứng. Không suy ra xác suất đạt từ mô hình.</xltc:text>
  </xltc:threadedComment>
  <xltc:threadedComment ref="B49" dT="2026-09-05T00:26:55.174" personId="{DC4556E8-C492-4F9A-AC32-61C9933F7D54}" id="{EAE3471E-C16F-8531-6D61-A2946C1C148F}">
    <xltc:text>Nguồn: lộ trình tăng trưởng minh họa, chưa kiểm chứng. Không suy ra xác suất đạt từ mô hình.</xltc:text>
  </xltc:threadedComment>
  <xltc:threadedComment ref="C49" dT="2026-09-05T00:26:55.174" personId="{DC4556E8-C492-4F9A-AC32-61C9933F7D54}" id="{69F69199-E933-9EF3-6881-7E0C2153078C}">
    <xltc:text>Nguồn: lộ trình tăng trưởng minh họa, chưa kiểm chứng. Không suy ra xác suất đạt từ mô hình.</xltc:text>
  </xltc:threadedComment>
  <xltc:threadedComment ref="D49" dT="2026-09-05T00:26:55.174" personId="{DC4556E8-C492-4F9A-AC32-61C9933F7D54}" id="{D5F70904-5417-AA2B-241E-1C428269E646}">
    <xltc:text>Nguồn: lộ trình tăng trưởng minh họa, chưa kiểm chứng. Không suy ra xác suất đạt từ mô hình.</xltc:text>
  </xltc:threadedComment>
  <xltc:threadedComment ref="B50" dT="2026-09-05T00:26:55.174" personId="{DC4556E8-C492-4F9A-AC32-61C9933F7D54}" id="{938F1AC6-4C14-71AE-A54D-0297AD7679C5}">
    <xltc:text>Nguồn: lộ trình tăng trưởng minh họa, chưa kiểm chứng. Không suy ra xác suất đạt từ mô hình.</xltc:text>
  </xltc:threadedComment>
  <xltc:threadedComment ref="C50" dT="2026-09-05T00:26:55.174" personId="{DC4556E8-C492-4F9A-AC32-61C9933F7D54}" id="{D8DABD5C-5C2E-E250-A706-AC0E1DB47BE8}">
    <xltc:text>Nguồn: lộ trình tăng trưởng minh họa, chưa kiểm chứng. Không suy ra xác suất đạt từ mô hình.</xltc:text>
  </xltc:threadedComment>
  <xltc:threadedComment ref="D50" dT="2026-09-05T00:26:55.174" personId="{DC4556E8-C492-4F9A-AC32-61C9933F7D54}" id="{3A824F3B-2A5E-26E9-EC61-C35986B9F9CD}">
    <xltc:text>Nguồn: lộ trình tăng trưởng minh họa, chưa kiểm chứng. Không suy ra xác suất đạt từ mô hình.</xltc:text>
  </xltc:threadedComment>
  <xltc:threadedComment ref="B51" dT="2026-09-05T00:26:55.174" personId="{DC4556E8-C492-4F9A-AC32-61C9933F7D54}" id="{5D194A6C-AF7B-652E-4212-F0F8399103B4}">
    <xltc:text>Nguồn: lộ trình tăng trưởng minh họa, chưa kiểm chứng. Không suy ra xác suất đạt từ mô hình.</xltc:text>
  </xltc:threadedComment>
  <xltc:threadedComment ref="C51" dT="2026-09-05T00:26:55.174" personId="{DC4556E8-C492-4F9A-AC32-61C9933F7D54}" id="{FF443BF2-FEFF-3116-A52C-BA952C6D5341}">
    <xltc:text>Nguồn: lộ trình tăng trưởng minh họa, chưa kiểm chứng. Không suy ra xác suất đạt từ mô hình.</xltc:text>
  </xltc:threadedComment>
  <xltc:threadedComment ref="D51" dT="2026-09-05T00:26:55.174" personId="{DC4556E8-C492-4F9A-AC32-61C9933F7D54}" id="{34CA8C30-5238-E397-4E34-EF0AEDD44BAF}">
    <xltc:text>Nguồn: lộ trình tăng trưởng minh họa, chưa kiểm chứng. Không suy ra xác suất đạt từ mô hình.</xltc:text>
  </xltc:threadedComment>
  <xltc:threadedComment ref="B52" dT="2026-09-05T00:26:55.174" personId="{DC4556E8-C492-4F9A-AC32-61C9933F7D54}" id="{7CD55B95-FD47-946A-EC48-EC66644EC9CF}">
    <xltc:text>Nguồn: lộ trình tăng trưởng minh họa, chưa kiểm chứng. Không suy ra xác suất đạt từ mô hình.</xltc:text>
  </xltc:threadedComment>
  <xltc:threadedComment ref="C52" dT="2026-09-05T00:26:55.174" personId="{DC4556E8-C492-4F9A-AC32-61C9933F7D54}" id="{0A37DDA8-9E8C-E79E-5679-70B6754AA331}">
    <xltc:text>Nguồn: lộ trình tăng trưởng minh họa, chưa kiểm chứng. Không suy ra xác suất đạt từ mô hình.</xltc:text>
  </xltc:threadedComment>
  <xltc:threadedComment ref="D52" dT="2026-09-05T00:26:55.174" personId="{DC4556E8-C492-4F9A-AC32-61C9933F7D54}" id="{204D2071-9F14-C8D0-EC11-9BE208C321B0}">
    <xltc:text>Nguồn: lộ trình tăng trưởng minh họa, chưa kiểm chứng. Không suy ra xác suất đạt từ mô hình.</xltc:text>
  </xltc:threadedComment>
  <xltc:threadedComment ref="B53" dT="2026-09-05T00:26:55.174" personId="{DC4556E8-C492-4F9A-AC32-61C9933F7D54}" id="{04C87C9B-324E-CF0C-75E0-B58C50D0CEE3}">
    <xltc:text>Nguồn: lộ trình tăng trưởng minh họa, chưa kiểm chứng. Không suy ra xác suất đạt từ mô hình.</xltc:text>
  </xltc:threadedComment>
  <xltc:threadedComment ref="C53" dT="2026-09-05T00:26:55.174" personId="{DC4556E8-C492-4F9A-AC32-61C9933F7D54}" id="{0D821A4A-BF42-177A-604C-F22FEB4B525C}">
    <xltc:text>Nguồn: lộ trình tăng trưởng minh họa, chưa kiểm chứng. Không suy ra xác suất đạt từ mô hình.</xltc:text>
  </xltc:threadedComment>
  <xltc:threadedComment ref="D53" dT="2026-09-05T00:26:55.174" personId="{DC4556E8-C492-4F9A-AC32-61C9933F7D54}" id="{BF1CB2EC-1CDB-2041-B29B-F2B133D66084}">
    <xltc:text>Nguồn: lộ trình tăng trưởng minh họa, chưa kiểm chứng. Không suy ra xác suất đạt từ mô hình.</xltc:text>
  </xltc:threadedComment>
  <xltc:threadedComment ref="B54" dT="2026-09-05T00:26:55.174" personId="{DC4556E8-C492-4F9A-AC32-61C9933F7D54}" id="{DB901F11-DF8C-0AEF-85B4-99EE6B968A2C}">
    <xltc:text>Nguồn: lộ trình tăng trưởng minh họa, chưa kiểm chứng. Không suy ra xác suất đạt từ mô hình.</xltc:text>
  </xltc:threadedComment>
  <xltc:threadedComment ref="C54" dT="2026-09-05T00:26:55.174" personId="{DC4556E8-C492-4F9A-AC32-61C9933F7D54}" id="{296D6600-59C3-E6BC-029E-BFE377F69AE7}">
    <xltc:text>Nguồn: lộ trình tăng trưởng minh họa, chưa kiểm chứng. Không suy ra xác suất đạt từ mô hình.</xltc:text>
  </xltc:threadedComment>
  <xltc:threadedComment ref="D54" dT="2026-09-05T00:26:55.174" personId="{DC4556E8-C492-4F9A-AC32-61C9933F7D54}" id="{09B391E8-1E28-5894-8B9A-ABEBBAD1C0C4}">
    <xltc:text>Nguồn: lộ trình tăng trưởng minh họa, chưa kiểm chứng. Không suy ra xác suất đạt từ mô hình.</xltc:text>
  </xltc:threadedComment>
  <xltc:threadedComment ref="B55" dT="2026-09-05T00:26:55.174" personId="{DC4556E8-C492-4F9A-AC32-61C9933F7D54}" id="{4A53AE7F-825E-EA77-9FA3-CD106041C711}">
    <xltc:text>Nguồn: lộ trình tăng trưởng minh họa, chưa kiểm chứng. Không suy ra xác suất đạt từ mô hình.</xltc:text>
  </xltc:threadedComment>
  <xltc:threadedComment ref="C55" dT="2026-09-05T00:26:55.174" personId="{DC4556E8-C492-4F9A-AC32-61C9933F7D54}" id="{5E2A76A9-9F29-0B18-0EBC-24F94757AFBC}">
    <xltc:text>Nguồn: lộ trình tăng trưởng minh họa, chưa kiểm chứng. Không suy ra xác suất đạt từ mô hình.</xltc:text>
  </xltc:threadedComment>
  <xltc:threadedComment ref="D55" dT="2026-09-05T00:26:55.174" personId="{DC4556E8-C492-4F9A-AC32-61C9933F7D54}" id="{39FA8D36-4615-7F0F-D1C7-D26DABE0E5DB}">
    <xltc:text>Nguồn: lộ trình tăng trưởng minh họa, chưa kiểm chứng. Không suy ra xác suất đạt từ mô hình.</xltc:text>
  </xltc:threadedComment>
  <xltc:threadedComment ref="B56" dT="2026-09-05T00:26:55.175" personId="{DC4556E8-C492-4F9A-AC32-61C9933F7D54}" id="{810327CB-6F50-9644-8001-7D0799587341}">
    <xltc:text>Nguồn: lộ trình tăng trưởng minh họa, chưa kiểm chứng. Không suy ra xác suất đạt từ mô hình.</xltc:text>
  </xltc:threadedComment>
  <xltc:threadedComment ref="C56" dT="2026-09-05T00:26:55.175" personId="{DC4556E8-C492-4F9A-AC32-61C9933F7D54}" id="{D81539A6-A488-9AC0-7538-88E5F4465C3E}">
    <xltc:text>Nguồn: lộ trình tăng trưởng minh họa, chưa kiểm chứng. Không suy ra xác suất đạt từ mô hình.</xltc:text>
  </xltc:threadedComment>
  <xltc:threadedComment ref="D56" dT="2026-09-05T00:26:55.175" personId="{DC4556E8-C492-4F9A-AC32-61C9933F7D54}" id="{BA3BA4BC-FC15-C748-0B4F-771B352980E4}">
    <xltc:text>Nguồn: lộ trình tăng trưởng minh họa, chưa kiểm chứng. Không suy ra xác suất đạt từ mô hình.</xltc:text>
  </xltc:threadedComment>
  <xltc:threadedComment ref="B57" dT="2026-09-05T00:26:55.175" personId="{DC4556E8-C492-4F9A-AC32-61C9933F7D54}" id="{8C3BAD81-4DE0-EC0A-2E0D-FF2CBDF2289B}">
    <xltc:text>Nguồn: lộ trình tăng trưởng minh họa, chưa kiểm chứng. Không suy ra xác suất đạt từ mô hình.</xltc:text>
  </xltc:threadedComment>
  <xltc:threadedComment ref="C57" dT="2026-09-05T00:26:55.175" personId="{DC4556E8-C492-4F9A-AC32-61C9933F7D54}" id="{D068C696-1EBF-DD6E-91B6-00FAD050298E}">
    <xltc:text>Nguồn: lộ trình tăng trưởng minh họa, chưa kiểm chứng. Không suy ra xác suất đạt từ mô hình.</xltc:text>
  </xltc:threadedComment>
  <xltc:threadedComment ref="D57" dT="2026-09-05T00:26:55.175" personId="{DC4556E8-C492-4F9A-AC32-61C9933F7D54}" id="{E0FFAD37-9DFF-EDA8-8B67-7EFE95EBACB2}">
    <xltc:text>Nguồn: lộ trình tăng trưởng minh họa, chưa kiểm chứng. Không suy ra xác suất đạt từ mô hình.</xltc:text>
  </xltc:threadedComment>
  <xltc:threadedComment ref="B58" dT="2026-09-05T00:26:55.175" personId="{DC4556E8-C492-4F9A-AC32-61C9933F7D54}" id="{E51AB60B-F7ED-C12F-732C-026B605D42A5}">
    <xltc:text>Nguồn: lộ trình tăng trưởng minh họa, chưa kiểm chứng. Không suy ra xác suất đạt từ mô hình.</xltc:text>
  </xltc:threadedComment>
  <xltc:threadedComment ref="C58" dT="2026-09-05T00:26:55.175" personId="{DC4556E8-C492-4F9A-AC32-61C9933F7D54}" id="{1A0B804F-AD37-4AE3-D706-EF7F0DC45182}">
    <xltc:text>Nguồn: lộ trình tăng trưởng minh họa, chưa kiểm chứng. Không suy ra xác suất đạt từ mô hình.</xltc:text>
  </xltc:threadedComment>
  <xltc:threadedComment ref="D58" dT="2026-09-05T00:26:55.175" personId="{DC4556E8-C492-4F9A-AC32-61C9933F7D54}" id="{8B9EC4C7-0CA4-97DC-90B3-E56081701142}">
    <xltc:text>Nguồn: lộ trình tăng trưởng minh họa, chưa kiểm chứng. Không suy ra xác suất đạt từ mô hình.</xltc:text>
  </xltc:threadedComment>
  <xltc:threadedComment ref="C31" dT="2026-09-05T00:26:55.175" personId="{DC4556E8-C492-4F9A-AC32-61C9933F7D54}" id="{241E2CD3-B58E-27F9-CDC0-331DC7B84858}">
    <xltc:text>Nguồn: giả định thận trọng lập kế hoạch. Khách mới tạo trung bình nửa tháng doanh thu; chưa mô hình hóa chi tiết tiền thu trước/VAT/công nợ.</xltc:text>
  </xltc:threadedComment>
</xltc:ThreadedComments>
</file>

<file path=xl/threadedcomments/threadedcomment2.xml><?xml version="1.0" encoding="utf-8"?>
<xltc:ThreadedComments xmlns:xltc="http://schemas.microsoft.com/office/spreadsheetml/2018/threadedcomments">
  <xltc:threadedComment ref="B6" dT="2026-09-05T00:26:55.175" personId="{DC4556E8-C492-4F9A-AC32-61C9933F7D54}" id="{916A59E1-33C7-5FFF-E9B8-403741694EC6}">
    <xltc:text>Nguồn: giá trị thử độ nhạy do người lập mô hình lựa chọn, không phải giá thuê/giá dịch vụ đã khảo sát.</xltc:text>
  </xltc:threadedComment>
  <xltc:threadedComment ref="C6" dT="2026-09-05T00:26:55.175" personId="{DC4556E8-C492-4F9A-AC32-61C9933F7D54}" id="{6CA472E0-8D35-FA01-8FFC-1795F0F0E47C}">
    <xltc:text>Nguồn: giá trị thử độ nhạy do người lập mô hình lựa chọn, không phải giá thuê/giá dịch vụ đã khảo sát.</xltc:text>
  </xltc:threadedComment>
  <xltc:threadedComment ref="D6" dT="2026-09-05T00:26:55.175" personId="{DC4556E8-C492-4F9A-AC32-61C9933F7D54}" id="{DDAA4E22-1261-8C76-B919-367A1B289918}">
    <xltc:text>Nguồn: giá trị thử độ nhạy do người lập mô hình lựa chọn, không phải giá thuê/giá dịch vụ đã khảo sát.</xltc:text>
  </xltc:threadedComment>
  <xltc:threadedComment ref="E6" dT="2026-09-05T00:26:55.175" personId="{DC4556E8-C492-4F9A-AC32-61C9933F7D54}" id="{DEC2524B-3D92-916B-AFF7-CDD85CB3C835}">
    <xltc:text>Nguồn: giá trị thử độ nhạy do người lập mô hình lựa chọn, không phải giá thuê/giá dịch vụ đã khảo sát.</xltc:text>
  </xltc:threadedComment>
  <xltc:threadedComment ref="F6" dT="2026-09-05T00:26:55.175" personId="{DC4556E8-C492-4F9A-AC32-61C9933F7D54}" id="{B9835042-0693-E058-A487-C6DB8DBE4D18}">
    <xltc:text>Nguồn: giá trị thử độ nhạy do người lập mô hình lựa chọn, không phải giá thuê/giá dịch vụ đã khảo sát.</xltc:text>
  </xltc:threadedComment>
  <xltc:threadedComment ref="A7" dT="2026-09-05T00:26:55.175" personId="{DC4556E8-C492-4F9A-AC32-61C9933F7D54}" id="{32106024-4D2F-EA1F-85DB-F85909C34EF7}">
    <xltc:text>Nguồn: giá trị thử độ nhạy do người lập mô hình lựa chọn, không phải giá thuê/giá dịch vụ đã khảo sát.</xltc:text>
  </xltc:threadedComment>
  <xltc:threadedComment ref="A8" dT="2026-09-05T00:26:55.175" personId="{DC4556E8-C492-4F9A-AC32-61C9933F7D54}" id="{B9DAB5B6-AE64-D0A7-55DE-F2A4C6561D6F}">
    <xltc:text>Nguồn: giá trị thử độ nhạy do người lập mô hình lựa chọn, không phải giá thuê/giá dịch vụ đã khảo sát.</xltc:text>
  </xltc:threadedComment>
  <xltc:threadedComment ref="A9" dT="2026-09-05T00:26:55.175" personId="{DC4556E8-C492-4F9A-AC32-61C9933F7D54}" id="{DC1F193B-1309-E05C-B9B0-B809B8CE0C70}">
    <xltc:text>Nguồn: giá trị thử độ nhạy do người lập mô hình lựa chọn, không phải giá thuê/giá dịch vụ đã khảo sát.</xltc:text>
  </xltc:threadedComment>
  <xltc:threadedComment ref="A10" dT="2026-09-05T00:26:55.175" personId="{DC4556E8-C492-4F9A-AC32-61C9933F7D54}" id="{68D8A07B-A8F1-C2F1-E5FD-0B1B73FBE3B1}">
    <xltc:text>Nguồn: giá trị thử độ nhạy do người lập mô hình lựa chọn, không phải giá thuê/giá dịch vụ đã khảo sát.</xltc:text>
  </xltc:threadedComment>
  <xltc:threadedComment ref="A11" dT="2026-09-05T00:26:55.175" personId="{DC4556E8-C492-4F9A-AC32-61C9933F7D54}" id="{EE58FC97-B5F8-CB7C-C71F-CCE649028E89}">
    <xltc:text>Nguồn: giá trị thử độ nhạy do người lập mô hình lựa chọn, không phải giá thuê/giá dịch vụ đã khảo sát.</xltc:text>
  </xltc:threadedComment>
  <xltc:threadedComment ref="B15" dT="2026-09-05T00:26:55.175" personId="{DC4556E8-C492-4F9A-AC32-61C9933F7D54}" id="{C9CCCDF3-3545-22FF-F603-8CA01ED99DF3}">
    <xltc:text>Nguồn: giá trị thử độ nhạy do người lập mô hình lựa chọn, không phải giá thuê/giá dịch vụ đã khảo sát.</xltc:text>
  </xltc:threadedComment>
  <xltc:threadedComment ref="C15" dT="2026-09-05T00:26:55.175" personId="{DC4556E8-C492-4F9A-AC32-61C9933F7D54}" id="{FB86554C-D550-0D4D-6C4B-B626A9AD387A}">
    <xltc:text>Nguồn: giá trị thử độ nhạy do người lập mô hình lựa chọn, không phải giá thuê/giá dịch vụ đã khảo sát.</xltc:text>
  </xltc:threadedComment>
  <xltc:threadedComment ref="D15" dT="2026-09-05T00:26:55.175" personId="{DC4556E8-C492-4F9A-AC32-61C9933F7D54}" id="{1ADCE564-37CD-1482-1FCB-7393703B529B}">
    <xltc:text>Nguồn: giá trị thử độ nhạy do người lập mô hình lựa chọn, không phải giá thuê/giá dịch vụ đã khảo sát.</xltc:text>
  </xltc:threadedComment>
  <xltc:threadedComment ref="E15" dT="2026-09-05T00:26:55.175" personId="{DC4556E8-C492-4F9A-AC32-61C9933F7D54}" id="{7EC8A732-2579-A871-B02F-E337B8298CA2}">
    <xltc:text>Nguồn: giá trị thử độ nhạy do người lập mô hình lựa chọn, không phải giá thuê/giá dịch vụ đã khảo sát.</xltc:text>
  </xltc:threadedComment>
  <xltc:threadedComment ref="F15" dT="2026-09-05T00:26:55.175" personId="{DC4556E8-C492-4F9A-AC32-61C9933F7D54}" id="{EF02EF2F-1CFC-2AD0-B6C0-67AE62158DB7}">
    <xltc:text>Nguồn: giá trị thử độ nhạy do người lập mô hình lựa chọn, không phải giá thuê/giá dịch vụ đã khảo sát.</xltc:text>
  </xltc:threadedComment>
  <xltc:threadedComment ref="A16" dT="2026-09-05T00:26:55.175" personId="{DC4556E8-C492-4F9A-AC32-61C9933F7D54}" id="{CC72FB9F-D0CC-BC2B-2A66-B5FE8DE0F06A}">
    <xltc:text>Nguồn: giá trị thử độ nhạy do người lập mô hình lựa chọn, không phải giá thuê/giá dịch vụ đã khảo sát.</xltc:text>
  </xltc:threadedComment>
  <xltc:threadedComment ref="A17" dT="2026-09-05T00:26:55.175" personId="{DC4556E8-C492-4F9A-AC32-61C9933F7D54}" id="{06B0A589-2610-BCAA-324A-445DA2FD4E95}">
    <xltc:text>Nguồn: giá trị thử độ nhạy do người lập mô hình lựa chọn, không phải giá thuê/giá dịch vụ đã khảo sát.</xltc:text>
  </xltc:threadedComment>
  <xltc:threadedComment ref="A18" dT="2026-09-05T00:26:55.175" personId="{DC4556E8-C492-4F9A-AC32-61C9933F7D54}" id="{43730FF0-99D2-1A55-409F-6476C6779E0B}">
    <xltc:text>Nguồn: giá trị thử độ nhạy do người lập mô hình lựa chọn, không phải giá thuê/giá dịch vụ đã khảo sát.</xltc:text>
  </xltc:threadedComment>
  <xltc:threadedComment ref="A19" dT="2026-09-05T00:26:55.175" personId="{DC4556E8-C492-4F9A-AC32-61C9933F7D54}" id="{733ED1A0-0C28-D38B-F840-16B45FF4263F}">
    <xltc:text>Nguồn: giá trị thử độ nhạy do người lập mô hình lựa chọn, không phải giá thuê/giá dịch vụ đã khảo sát.</xltc:text>
  </xltc:threadedComment>
  <xltc:threadedComment ref="A20" dT="2026-09-05T00:26:55.175" personId="{DC4556E8-C492-4F9A-AC32-61C9933F7D54}" id="{2994A585-E3BD-C0E6-B76F-24C0AA307A93}">
    <xltc:text>Nguồn: giá trị thử độ nhạy do người lập mô hình lựa chọn, không phải giá thuê/giá dịch vụ đã khảo sát.</xltc:text>
  </xltc:threadedComment>
</xltc:ThreadedComments>
</file>

<file path=xl/threadedcomments/threadedcomment3.xml><?xml version="1.0" encoding="utf-8"?>
<xltc:ThreadedComments xmlns:xltc="http://schemas.microsoft.com/office/spreadsheetml/2018/threadedcomments">
  <xltc:threadedComment ref="B5" dT="2026-09-05T00:26:55.175" personId="{DC4556E8-C492-4F9A-AC32-61C9933F7D54}" id="{9E9D57E6-15BC-5473-EB4E-30105411B5F4}">
    <xltc:text>Nguồn: ngân sách lập kế hoạch nội bộ, không phải báo giá thị trường. Phải thay bằng báo giá sau khi xác nhận công năng và khảo sát hiện trạng.</xltc:text>
  </xltc:threadedComment>
  <xltc:threadedComment ref="D5" dT="2026-09-05T00:26:55.175" personId="{DC4556E8-C492-4F9A-AC32-61C9933F7D54}" id="{B128B282-3548-2482-6EC1-37ECF8CF5C4C}">
    <xltc:text>Nguồn: ngân sách lập kế hoạch nội bộ, không phải báo giá thị trường. Phải thay bằng báo giá sau khi xác nhận công năng và khảo sát hiện trạng.</xltc:text>
  </xltc:threadedComment>
  <xltc:threadedComment ref="B6" dT="2026-09-05T00:26:55.175" personId="{DC4556E8-C492-4F9A-AC32-61C9933F7D54}" id="{53596FC7-9001-99E5-85DD-91072C0D26E7}">
    <xltc:text>Nguồn: ngân sách lập kế hoạch nội bộ, không phải báo giá thị trường. Phải thay bằng báo giá sau khi xác nhận công năng và khảo sát hiện trạng.</xltc:text>
  </xltc:threadedComment>
  <xltc:threadedComment ref="D6" dT="2026-09-05T00:26:55.175" personId="{DC4556E8-C492-4F9A-AC32-61C9933F7D54}" id="{C01B8986-DE3F-915C-96A0-63052744DB1B}">
    <xltc:text>Nguồn: ngân sách lập kế hoạch nội bộ, không phải báo giá thị trường. Phải thay bằng báo giá sau khi xác nhận công năng và khảo sát hiện trạng.</xltc:text>
  </xltc:threadedComment>
  <xltc:threadedComment ref="B7" dT="2026-09-05T00:26:55.175" personId="{DC4556E8-C492-4F9A-AC32-61C9933F7D54}" id="{4DDC2B0A-0B14-6F91-815D-C93EC911161C}">
    <xltc:text>Nguồn: ngân sách lập kế hoạch nội bộ, không phải báo giá thị trường. Phải thay bằng báo giá sau khi xác nhận công năng và khảo sát hiện trạng.</xltc:text>
  </xltc:threadedComment>
  <xltc:threadedComment ref="D7" dT="2026-09-05T00:26:55.175" personId="{DC4556E8-C492-4F9A-AC32-61C9933F7D54}" id="{D78F18BB-0C88-8EA1-9C78-808771166690}">
    <xltc:text>Nguồn: ngân sách lập kế hoạch nội bộ, không phải báo giá thị trường. Phải thay bằng báo giá sau khi xác nhận công năng và khảo sát hiện trạng.</xltc:text>
  </xltc:threadedComment>
  <xltc:threadedComment ref="B8" dT="2026-09-05T00:26:55.175" personId="{DC4556E8-C492-4F9A-AC32-61C9933F7D54}" id="{E7A731DB-3A8D-20B9-BA6D-3858060EF09D}">
    <xltc:text>Nguồn: ngân sách lập kế hoạch nội bộ, không phải báo giá thị trường. Phải thay bằng báo giá sau khi xác nhận công năng và khảo sát hiện trạng.</xltc:text>
  </xltc:threadedComment>
  <xltc:threadedComment ref="D8" dT="2026-09-05T00:26:55.175" personId="{DC4556E8-C492-4F9A-AC32-61C9933F7D54}" id="{36A07C24-E85E-7F17-C96A-42BAEC27C175}">
    <xltc:text>Nguồn: ngân sách lập kế hoạch nội bộ, không phải báo giá thị trường. Phải thay bằng báo giá sau khi xác nhận công năng và khảo sát hiện trạng.</xltc:text>
  </xltc:threadedComment>
  <xltc:threadedComment ref="B9" dT="2026-09-05T00:26:55.175" personId="{DC4556E8-C492-4F9A-AC32-61C9933F7D54}" id="{7CBE1D56-2C85-D7A9-9E75-2370D8AC349B}">
    <xltc:text>Nguồn: ngân sách lập kế hoạch nội bộ, không phải báo giá thị trường. Phải thay bằng báo giá sau khi xác nhận công năng và khảo sát hiện trạng.</xltc:text>
  </xltc:threadedComment>
  <xltc:threadedComment ref="D9" dT="2026-09-05T00:26:55.175" personId="{DC4556E8-C492-4F9A-AC32-61C9933F7D54}" id="{D073965B-10AF-8215-67AF-4933046EDA55}">
    <xltc:text>Nguồn: ngân sách lập kế hoạch nội bộ, không phải báo giá thị trường. Phải thay bằng báo giá sau khi xác nhận công năng và khảo sát hiện trạng.</xltc:text>
  </xltc:threadedComment>
  <xltc:threadedComment ref="B10" dT="2026-09-05T00:26:55.175" personId="{DC4556E8-C492-4F9A-AC32-61C9933F7D54}" id="{CB4EC174-9A04-7E41-E51D-5D74A3AA3232}">
    <xltc:text>Nguồn: ngân sách lập kế hoạch nội bộ, không phải báo giá thị trường. Phải thay bằng báo giá sau khi xác nhận công năng và khảo sát hiện trạng.</xltc:text>
  </xltc:threadedComment>
  <xltc:threadedComment ref="D10" dT="2026-09-05T00:26:55.175" personId="{DC4556E8-C492-4F9A-AC32-61C9933F7D54}" id="{D0B4D9CD-68F9-1B34-4494-DC1ED16557A7}">
    <xltc:text>Nguồn: ngân sách lập kế hoạch nội bộ, không phải báo giá thị trường. Phải thay bằng báo giá sau khi xác nhận công năng và khảo sát hiện trạng.</xltc:text>
  </xltc:threadedComment>
  <xltc:threadedComment ref="B11" dT="2026-09-05T00:26:55.175" personId="{DC4556E8-C492-4F9A-AC32-61C9933F7D54}" id="{06FC0B16-2565-7084-21D6-56374154A110}">
    <xltc:text>Nguồn: ngân sách lập kế hoạch nội bộ, không phải báo giá thị trường. Phải thay bằng báo giá sau khi xác nhận công năng và khảo sát hiện trạng.</xltc:text>
  </xltc:threadedComment>
  <xltc:threadedComment ref="D11" dT="2026-09-05T00:26:55.175" personId="{DC4556E8-C492-4F9A-AC32-61C9933F7D54}" id="{8E9A3730-347C-93D7-842D-9D85A27F5EA6}">
    <xltc:text>Nguồn: ngân sách lập kế hoạch nội bộ, không phải báo giá thị trường. Phải thay bằng báo giá sau khi xác nhận công năng và khảo sát hiện trạng.</xltc:text>
  </xltc:threadedComment>
</xltc:ThreadedComments>
</file>

<file path=xl/worksheets/_rels/sheet2.xml.rels>&#65279;<?xml version="1.0" encoding="utf-8"?><Relationships xmlns="http://schemas.openxmlformats.org/package/2006/relationships"><Relationship Type="http://schemas.openxmlformats.org/officeDocument/2006/relationships/comments" Target="/xl/comments1.xml" Id="Rb3fa4a4fdc244720" /><Relationship Type="http://schemas.openxmlformats.org/officeDocument/2006/relationships/vmlDrawing" Target="/xl/drawings/vmldrawing.vml" Id="Reb84dfeb558d4b18" /><Relationship Type="http://schemas.microsoft.com/office/2017/10/relationships/threadedComment" Target="/xl/threadedcomments/threadedcomment.xml" Id="R0f52f2d1536e4ac2" /></Relationships>
</file>

<file path=xl/worksheets/_rels/sheet6.xml.rels>&#65279;<?xml version="1.0" encoding="utf-8"?><Relationships xmlns="http://schemas.openxmlformats.org/package/2006/relationships"><Relationship Type="http://schemas.openxmlformats.org/officeDocument/2006/relationships/comments" Target="/xl/comments2.xml" Id="Rac2b181053c6417b" /><Relationship Type="http://schemas.openxmlformats.org/officeDocument/2006/relationships/vmlDrawing" Target="/xl/drawings/vmldrawing2.vml" Id="Rd4c82644ab444ed7" /><Relationship Type="http://schemas.microsoft.com/office/2017/10/relationships/threadedComment" Target="/xl/threadedcomments/threadedcomment2.xml" Id="R78e955fceb964973" /></Relationships>
</file>

<file path=xl/worksheets/_rels/sheet7.xml.rels>&#65279;<?xml version="1.0" encoding="utf-8"?><Relationships xmlns="http://schemas.openxmlformats.org/package/2006/relationships"><Relationship Type="http://schemas.openxmlformats.org/officeDocument/2006/relationships/comments" Target="/xl/comments3.xml" Id="R91c61c4082d84d50" /><Relationship Type="http://schemas.openxmlformats.org/officeDocument/2006/relationships/vmlDrawing" Target="/xl/drawings/vmldrawing3.vml" Id="Re5a357f14f92464a" /><Relationship Type="http://schemas.microsoft.com/office/2017/10/relationships/threadedComment" Target="/xl/threadedcomments/threadedcomment3.xml" Id="R8cf7fbbb868c49bb" /></Relationships>
</file>

<file path=xl/worksheets/sheet1.xml><?xml version="1.0" encoding="utf-8"?>
<x:worksheet xmlns:x="http://schemas.openxmlformats.org/spreadsheetml/2006/main">
  <x:sheetFormatPr defaultRowHeight="15"/>
  <x:cols>
    <x:col min="1" max="1" width="37"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s>
  <x:sheetData>
    <x:row r="1" ht="23" customHeight="1">
      <x:c r="A1" s="8" t="str">
        <x:v>CLB SỐNG VUI 60+ | ĐÀ NẴNG</x:v>
      </x:c>
      <x:c r="B1" s="8"/>
      <x:c r="C1" s="8"/>
      <x:c r="D1" s="8"/>
      <x:c r="E1" s="8"/>
      <x:c r="F1" s="8"/>
      <x:c r="G1" s="8"/>
      <x:c r="H1" s="3"/>
      <x:c r="I1" s="3"/>
      <x:c r="J1" s="3"/>
      <x:c r="K1" s="3"/>
      <x:c r="L1" s="3"/>
      <x:c r="M1" s="3"/>
    </x:row>
    <x:row r="2" ht="23" customHeight="1">
      <x:c r="A2" s="8"/>
      <x:c r="B2" s="8"/>
      <x:c r="C2" s="8"/>
      <x:c r="D2" s="8"/>
      <x:c r="E2" s="8"/>
      <x:c r="F2" s="8"/>
      <x:c r="G2" s="8"/>
      <x:c r="H2" s="3"/>
      <x:c r="I2" s="3"/>
      <x:c r="J2" s="3"/>
      <x:c r="K2" s="3"/>
      <x:c r="L2" s="3"/>
      <x:c r="M2" s="3"/>
    </x:row>
    <x:row r="3" ht="32" customHeight="1">
      <x:c r="A3" s="13" t="str">
        <x:v>500 m², tầng 5 | Bản tính tiền khả thi | Chưa xác nhận đúng tòa nhà, công năng, giá thuê và nhu cầu trả phí</x:v>
      </x:c>
      <x:c r="B3" s="13"/>
      <x:c r="C3" s="13"/>
      <x:c r="D3" s="13"/>
      <x:c r="E3" s="13"/>
      <x:c r="F3" s="13"/>
      <x:c r="G3" s="13"/>
      <x:c r="H3" s="3"/>
      <x:c r="I3" s="3"/>
      <x:c r="J3" s="3"/>
      <x:c r="K3" s="3"/>
      <x:c r="L3" s="3"/>
      <x:c r="M3" s="3"/>
    </x:row>
    <x:row r="4" ht="35" customHeight="1">
      <x:c r="A4" s="18" t="str">
        <x:v>KHUYẾN NGHỊ: KIỂM TRA PHÁP LÝ → PILOT TRẢ PHÍ → MỚI ĐẦU TƯ ĐỦ 500 m²</x:v>
      </x:c>
      <x:c r="B4" s="18"/>
      <x:c r="C4" s="18"/>
      <x:c r="D4" s="18"/>
      <x:c r="E4" s="18"/>
      <x:c r="F4" s="18"/>
      <x:c r="G4" s="18"/>
      <x:c r="H4" s="3"/>
      <x:c r="I4" s="3"/>
      <x:c r="J4" s="3"/>
      <x:c r="K4" s="3"/>
      <x:c r="L4" s="3"/>
      <x:c r="M4" s="3"/>
    </x:row>
    <x:row r="5" ht="23" customHeight="1">
      <x:c r="A5" s="3"/>
      <x:c r="B5" s="3"/>
      <x:c r="C5" s="3"/>
      <x:c r="D5" s="3"/>
      <x:c r="E5" s="3"/>
      <x:c r="F5" s="3"/>
      <x:c r="G5" s="3"/>
      <x:c r="H5" s="3"/>
      <x:c r="I5" s="3"/>
      <x:c r="J5" s="3"/>
      <x:c r="K5" s="3"/>
      <x:c r="L5" s="3"/>
      <x:c r="M5" s="3"/>
    </x:row>
    <x:row r="6" ht="34" customHeight="1">
      <x:c r="A6" s="40" t="str">
        <x:v>Hội viên CLB để hòa vốn</x:v>
      </x:c>
      <x:c r="B6" s="40"/>
      <x:c r="C6" s="40"/>
      <x:c r="D6" s="92" t="n">
        <x:f>'CLB'!C25</x:f>
        <x:v>150</x:v>
      </x:c>
      <x:c r="E6" s="93"/>
      <x:c r="F6" s="40" t="str">
        <x:v>người trả phí</x:v>
      </x:c>
      <x:c r="G6" s="40"/>
      <x:c r="H6" s="3"/>
      <x:c r="I6" s="3"/>
      <x:c r="J6" s="3"/>
      <x:c r="K6" s="3"/>
      <x:c r="L6" s="3"/>
      <x:c r="M6" s="3"/>
    </x:row>
    <x:row r="7" ht="34" customHeight="1">
      <x:c r="A7" s="98" t="str">
        <x:v>EBITDA tháng cơ sở</x:v>
      </x:c>
      <x:c r="B7" s="98"/>
      <x:c r="C7" s="98"/>
      <x:c r="D7" s="108" t="n">
        <x:f>'CLB'!C21</x:f>
        <x:v>15</x:v>
      </x:c>
      <x:c r="E7" s="109"/>
      <x:c r="F7" s="98" t="str">
        <x:v>triệu đồng / tháng</x:v>
      </x:c>
      <x:c r="G7" s="98"/>
      <x:c r="H7" s="3"/>
      <x:c r="I7" s="3"/>
      <x:c r="J7" s="3"/>
      <x:c r="K7" s="3"/>
      <x:c r="L7" s="3"/>
      <x:c r="M7" s="3"/>
    </x:row>
    <x:row r="8" ht="34" customHeight="1">
      <x:c r="A8" s="40" t="str">
        <x:v>EBITDA tháng kịch bản tốt</x:v>
      </x:c>
      <x:c r="B8" s="40"/>
      <x:c r="C8" s="40"/>
      <x:c r="D8" s="112" t="n">
        <x:f>'CLB'!D21</x:f>
        <x:v>61.5</x:v>
      </x:c>
      <x:c r="E8" s="113"/>
      <x:c r="F8" s="40" t="str">
        <x:v>triệu đồng / tháng</x:v>
      </x:c>
      <x:c r="G8" s="40"/>
      <x:c r="H8" s="3"/>
      <x:c r="I8" s="3"/>
      <x:c r="J8" s="3"/>
      <x:c r="K8" s="3"/>
      <x:c r="L8" s="3"/>
      <x:c r="M8" s="3"/>
    </x:row>
    <x:row r="9" ht="34" customHeight="1">
      <x:c r="A9" s="98" t="str">
        <x:v>CAPEX cơ sở</x:v>
      </x:c>
      <x:c r="B9" s="98"/>
      <x:c r="C9" s="98"/>
      <x:c r="D9" s="108" t="n">
        <x:f>'Von_dau_tu'!C14</x:f>
        <x:v>2604.75</x:v>
      </x:c>
      <x:c r="E9" s="109"/>
      <x:c r="F9" s="98" t="str">
        <x:v>triệu đồng</x:v>
      </x:c>
      <x:c r="G9" s="98"/>
      <x:c r="H9" s="3"/>
      <x:c r="I9" s="3"/>
      <x:c r="J9" s="3"/>
      <x:c r="K9" s="3"/>
      <x:c r="L9" s="3"/>
      <x:c r="M9" s="3"/>
    </x:row>
    <x:row r="10" ht="34" customHeight="1">
      <x:c r="A10" s="40" t="str">
        <x:v>Tổng nguồn tiền cơ sở</x:v>
      </x:c>
      <x:c r="B10" s="40"/>
      <x:c r="C10" s="40"/>
      <x:c r="D10" s="112" t="n">
        <x:f>'Von_dau_tu'!C18</x:f>
        <x:v>3884.75</x:v>
      </x:c>
      <x:c r="E10" s="113"/>
      <x:c r="F10" s="40" t="str">
        <x:v>triệu đồng</x:v>
      </x:c>
      <x:c r="G10" s="40"/>
      <x:c r="H10" s="3"/>
      <x:c r="I10" s="3"/>
      <x:c r="J10" s="3"/>
      <x:c r="K10" s="3"/>
      <x:c r="L10" s="3"/>
      <x:c r="M10" s="3"/>
    </x:row>
    <x:row r="11" ht="34" customHeight="1">
      <x:c r="A11" s="98" t="str">
        <x:v>EBITDA năm đầu trong ramp-up</x:v>
      </x:c>
      <x:c r="B11" s="98"/>
      <x:c r="C11" s="98"/>
      <x:c r="D11" s="108" t="n">
        <x:f>'Dong_tien_12T'!I18</x:f>
        <x:v>-471.09999999999985</x:v>
      </x:c>
      <x:c r="E11" s="109"/>
      <x:c r="F11" s="98" t="str">
        <x:v>triệu đồng / năm</x:v>
      </x:c>
      <x:c r="G11" s="98"/>
      <x:c r="H11" s="3"/>
      <x:c r="I11" s="3"/>
      <x:c r="J11" s="3"/>
      <x:c r="K11" s="3"/>
      <x:c r="L11" s="3"/>
      <x:c r="M11" s="3"/>
    </x:row>
    <x:row r="12" ht="23" customHeight="1">
      <x:c r="A12" s="3"/>
      <x:c r="B12" s="3"/>
      <x:c r="C12" s="3"/>
      <x:c r="D12" s="3"/>
      <x:c r="E12" s="3"/>
      <x:c r="F12" s="3"/>
      <x:c r="G12" s="3"/>
      <x:c r="H12" s="3"/>
      <x:c r="I12" s="3"/>
      <x:c r="J12" s="3"/>
      <x:c r="K12" s="3"/>
      <x:c r="L12" s="3"/>
      <x:c r="M12" s="3"/>
    </x:row>
    <x:row r="13" ht="23" customHeight="1">
      <x:c r="A13" s="3"/>
      <x:c r="B13" s="3"/>
      <x:c r="C13" s="3"/>
      <x:c r="D13" s="3"/>
      <x:c r="E13" s="3"/>
      <x:c r="F13" s="3"/>
      <x:c r="G13" s="3"/>
      <x:c r="H13" s="3"/>
      <x:c r="I13" s="3"/>
      <x:c r="J13" s="3"/>
      <x:c r="K13" s="3"/>
      <x:c r="L13" s="3"/>
      <x:c r="M13" s="3"/>
    </x:row>
    <x:row r="14" ht="32" customHeight="1">
      <x:c r="A14" s="18" t="str">
        <x:v>PHƯƠNG ÁN A / THÁNG</x:v>
      </x:c>
      <x:c r="B14" s="18" t="str">
        <x:v>Thấp</x:v>
      </x:c>
      <x:c r="C14" s="18" t="str">
        <x:v>Cơ sở</x:v>
      </x:c>
      <x:c r="D14" s="18" t="str">
        <x:v>Tốt</x:v>
      </x:c>
      <x:c r="E14" s="3"/>
      <x:c r="F14" s="3"/>
      <x:c r="G14" s="3"/>
      <x:c r="H14" s="3"/>
      <x:c r="I14" s="3"/>
      <x:c r="J14" s="3"/>
      <x:c r="K14" s="3"/>
      <x:c r="L14" s="3"/>
      <x:c r="M14" s="3"/>
    </x:row>
    <x:row r="15" ht="32" customHeight="1">
      <x:c r="A15" s="22" t="str">
        <x:v>Hội viên CLB</x:v>
      </x:c>
      <x:c r="B15" s="70" t="n">
        <x:f>'CLB'!B5</x:f>
        <x:v>100</x:v>
      </x:c>
      <x:c r="C15" s="70" t="n">
        <x:f>'CLB'!C5</x:f>
        <x:v>160</x:v>
      </x:c>
      <x:c r="D15" s="70" t="n">
        <x:f>'CLB'!D5</x:f>
        <x:v>200</x:v>
      </x:c>
      <x:c r="E15" s="3"/>
      <x:c r="F15" s="3"/>
      <x:c r="G15" s="3"/>
      <x:c r="H15" s="3"/>
      <x:c r="I15" s="3"/>
      <x:c r="J15" s="3"/>
      <x:c r="K15" s="3"/>
      <x:c r="L15" s="3"/>
      <x:c r="M15" s="3"/>
    </x:row>
    <x:row r="16" ht="32" customHeight="1">
      <x:c r="A16" s="22" t="str">
        <x:v>Doanh thu</x:v>
      </x:c>
      <x:c r="B16" s="38" t="n">
        <x:f>'CLB'!B11</x:f>
        <x:v>170</x:v>
      </x:c>
      <x:c r="C16" s="38" t="n">
        <x:f>'CLB'!C11</x:f>
        <x:v>276</x:v>
      </x:c>
      <x:c r="D16" s="38" t="n">
        <x:f>'CLB'!D11</x:f>
        <x:v>350</x:v>
      </x:c>
      <x:c r="E16" s="3"/>
      <x:c r="F16" s="3"/>
      <x:c r="G16" s="3"/>
      <x:c r="H16" s="3"/>
      <x:c r="I16" s="3"/>
      <x:c r="J16" s="3"/>
      <x:c r="K16" s="3"/>
      <x:c r="L16" s="3"/>
      <x:c r="M16" s="3"/>
    </x:row>
    <x:row r="17" ht="32" customHeight="1">
      <x:c r="A17" s="22" t="str">
        <x:v>EBITDA</x:v>
      </x:c>
      <x:c r="B17" s="38" t="n">
        <x:f>'CLB'!B21</x:f>
        <x:v>-59.5</x:v>
      </x:c>
      <x:c r="C17" s="38" t="n">
        <x:f>'CLB'!C21</x:f>
        <x:v>15</x:v>
      </x:c>
      <x:c r="D17" s="38" t="n">
        <x:f>'CLB'!D21</x:f>
        <x:v>61.5</x:v>
      </x:c>
      <x:c r="E17" s="3"/>
      <x:c r="F17" s="3"/>
      <x:c r="G17" s="3"/>
      <x:c r="H17" s="3"/>
      <x:c r="I17" s="3"/>
      <x:c r="J17" s="3"/>
      <x:c r="K17" s="3"/>
      <x:c r="L17" s="3"/>
      <x:c r="M17" s="3"/>
    </x:row>
    <x:row r="18" ht="23" customHeight="1">
      <x:c r="A18" s="3"/>
      <x:c r="B18" s="3"/>
      <x:c r="C18" s="3"/>
      <x:c r="D18" s="3"/>
      <x:c r="E18" s="3"/>
      <x:c r="F18" s="3"/>
      <x:c r="G18" s="3"/>
      <x:c r="H18" s="3"/>
      <x:c r="I18" s="3"/>
      <x:c r="J18" s="3"/>
      <x:c r="K18" s="3"/>
      <x:c r="L18" s="3"/>
      <x:c r="M18" s="3"/>
    </x:row>
    <x:row r="19" ht="28" customHeight="1">
      <x:c r="A19" s="62" t="str">
        <x:v>BẮT BUỘC XÁC MINH: đúng địa chỉ và mã mặt bằng; quyền cho thuê; công năng được duyệt; hiện trạng xử lý sai phạm (nếu liên quan); hồ sơ PCCC; khả năng tiếp cận và sơ tán người cao tuổi; chi phí thuê thực tế. Không cọc hoặc thi công không hoàn lại khi các điểm này còn mơ hồ.</x:v>
      </x:c>
      <x:c r="B19" s="62"/>
      <x:c r="C19" s="62"/>
      <x:c r="D19" s="62"/>
      <x:c r="E19" s="62"/>
      <x:c r="F19" s="62"/>
      <x:c r="G19" s="62"/>
      <x:c r="H19" s="3"/>
      <x:c r="I19" s="3"/>
      <x:c r="J19" s="3"/>
      <x:c r="K19" s="3"/>
      <x:c r="L19" s="3"/>
      <x:c r="M19" s="3"/>
    </x:row>
    <x:row r="20" ht="28" customHeight="1">
      <x:c r="A20" s="62"/>
      <x:c r="B20" s="62"/>
      <x:c r="C20" s="62"/>
      <x:c r="D20" s="62"/>
      <x:c r="E20" s="62"/>
      <x:c r="F20" s="62"/>
      <x:c r="G20" s="62"/>
      <x:c r="H20" s="3"/>
      <x:c r="I20" s="3"/>
      <x:c r="J20" s="3"/>
      <x:c r="K20" s="3"/>
      <x:c r="L20" s="3"/>
      <x:c r="M20" s="3"/>
    </x:row>
    <x:row r="21" ht="28" customHeight="1">
      <x:c r="A21" s="62"/>
      <x:c r="B21" s="62"/>
      <x:c r="C21" s="62"/>
      <x:c r="D21" s="62"/>
      <x:c r="E21" s="62"/>
      <x:c r="F21" s="62"/>
      <x:c r="G21" s="62"/>
      <x:c r="H21" s="3"/>
      <x:c r="I21" s="3"/>
      <x:c r="J21" s="3"/>
      <x:c r="K21" s="3"/>
      <x:c r="L21" s="3"/>
      <x:c r="M21" s="3"/>
    </x:row>
    <x:row r="22" ht="23" customHeight="1">
      <x:c r="A22" s="3"/>
      <x:c r="B22" s="3"/>
      <x:c r="C22" s="3"/>
      <x:c r="D22" s="3"/>
      <x:c r="E22" s="3"/>
      <x:c r="F22" s="3"/>
      <x:c r="G22" s="3"/>
      <x:c r="H22" s="3"/>
      <x:c r="I22" s="3"/>
      <x:c r="J22" s="3"/>
      <x:c r="K22" s="3"/>
      <x:c r="L22" s="3"/>
      <x:c r="M22" s="3"/>
    </x:row>
    <x:row r="23" ht="28" customHeight="1">
      <x:c r="A23" s="117" t="str">
        <x:v>BÁN TRÚ CHỈ LÀ PHƯƠNG ÁN CÓ ĐIỀU KIỆN: sheet Ban_ngay_DK không khẳng định tầng 5 đáp ứng quy định chăm sóc / trợ giúp xã hội. Nếu không đủ điều kiện về đất, diện tích, nhân sự hoặc sơ tán thì bỏ phương án này, không đổi tên dịch vụ để né phạm vi quản lý.</x:v>
      </x:c>
      <x:c r="B23" s="117"/>
      <x:c r="C23" s="117"/>
      <x:c r="D23" s="117"/>
      <x:c r="E23" s="117"/>
      <x:c r="F23" s="117"/>
      <x:c r="G23" s="117"/>
      <x:c r="H23" s="3"/>
      <x:c r="I23" s="3"/>
      <x:c r="J23" s="3"/>
      <x:c r="K23" s="3"/>
      <x:c r="L23" s="3"/>
      <x:c r="M23" s="3"/>
    </x:row>
    <x:row r="24" ht="28" customHeight="1">
      <x:c r="A24" s="117"/>
      <x:c r="B24" s="117"/>
      <x:c r="C24" s="117"/>
      <x:c r="D24" s="117"/>
      <x:c r="E24" s="117"/>
      <x:c r="F24" s="117"/>
      <x:c r="G24" s="117"/>
      <x:c r="H24" s="3"/>
      <x:c r="I24" s="3"/>
      <x:c r="J24" s="3"/>
      <x:c r="K24" s="3"/>
      <x:c r="L24" s="3"/>
      <x:c r="M24" s="3"/>
    </x:row>
    <x:row r="25" ht="28" customHeight="1">
      <x:c r="A25" s="117"/>
      <x:c r="B25" s="117"/>
      <x:c r="C25" s="117"/>
      <x:c r="D25" s="117"/>
      <x:c r="E25" s="117"/>
      <x:c r="F25" s="117"/>
      <x:c r="G25" s="117"/>
      <x:c r="H25" s="3"/>
      <x:c r="I25" s="3"/>
      <x:c r="J25" s="3"/>
      <x:c r="K25" s="3"/>
      <x:c r="L25" s="3"/>
      <x:c r="M25" s="3"/>
    </x:row>
    <x:row r="26" ht="23" customHeight="1">
      <x:c r="A26" s="3"/>
      <x:c r="B26" s="3"/>
      <x:c r="C26" s="3"/>
      <x:c r="D26" s="3"/>
      <x:c r="E26" s="3"/>
      <x:c r="F26" s="3"/>
      <x:c r="G26" s="3"/>
      <x:c r="H26" s="3"/>
      <x:c r="I26" s="3"/>
      <x:c r="J26" s="3"/>
      <x:c r="K26" s="3"/>
      <x:c r="L26" s="3"/>
      <x:c r="M26" s="3"/>
    </x:row>
    <x:row r="27" ht="27" customHeight="1">
      <x:c r="A27" s="40" t="str">
        <x:v>CÁCH DÙNG: sửa chữ xanh dương trong Gia_dinh. Xem CLB, Ban_ngay_DK, Dong_tien_12T và Do_nhay. Tổng vốn ở Von_dau_tu; nguồn ở Nguon. Tất cả số kinh tế là giả định. Chưa gồm khấu hao, lãi vay, thuế và tác động VAT. Mô hình dòng tiền giản lược không thay thế kế toán hoặc tư vấn pháp lý.</x:v>
      </x:c>
      <x:c r="B27" s="40"/>
      <x:c r="C27" s="40"/>
      <x:c r="D27" s="40"/>
      <x:c r="E27" s="40"/>
      <x:c r="F27" s="40"/>
      <x:c r="G27" s="40"/>
      <x:c r="H27" s="3"/>
      <x:c r="I27" s="3"/>
      <x:c r="J27" s="3"/>
      <x:c r="K27" s="3"/>
      <x:c r="L27" s="3"/>
      <x:c r="M27" s="3"/>
    </x:row>
    <x:row r="28" ht="27" customHeight="1">
      <x:c r="A28" s="40"/>
      <x:c r="B28" s="40"/>
      <x:c r="C28" s="40"/>
      <x:c r="D28" s="40"/>
      <x:c r="E28" s="40"/>
      <x:c r="F28" s="40"/>
      <x:c r="G28" s="40"/>
      <x:c r="H28" s="3"/>
      <x:c r="I28" s="3"/>
      <x:c r="J28" s="3"/>
      <x:c r="K28" s="3"/>
      <x:c r="L28" s="3"/>
      <x:c r="M28" s="3"/>
    </x:row>
    <x:row r="29" ht="27" customHeight="1">
      <x:c r="A29" s="40"/>
      <x:c r="B29" s="40"/>
      <x:c r="C29" s="40"/>
      <x:c r="D29" s="40"/>
      <x:c r="E29" s="40"/>
      <x:c r="F29" s="40"/>
      <x:c r="G29" s="40"/>
      <x:c r="H29" s="3"/>
      <x:c r="I29" s="3"/>
      <x:c r="J29" s="3"/>
      <x:c r="K29" s="3"/>
      <x:c r="L29" s="3"/>
      <x:c r="M29" s="3"/>
    </x:row>
    <x:row r="30" ht="23" customHeight="1">
      <x:c r="A30" s="3"/>
      <x:c r="B30" s="3"/>
      <x:c r="C30" s="3"/>
      <x:c r="D30" s="3"/>
      <x:c r="E30" s="3"/>
      <x:c r="F30" s="3"/>
      <x:c r="G30" s="3"/>
      <x:c r="H30" s="3"/>
      <x:c r="I30" s="3"/>
      <x:c r="J30" s="3"/>
      <x:c r="K30" s="3"/>
      <x:c r="L30" s="3"/>
      <x:c r="M30" s="3"/>
    </x:row>
    <x:row r="31" ht="23" customHeight="1">
      <x:c r="A31" s="3"/>
      <x:c r="B31" s="3"/>
      <x:c r="C31" s="3"/>
      <x:c r="D31" s="3"/>
      <x:c r="E31" s="3"/>
      <x:c r="F31" s="3"/>
      <x:c r="G31" s="3"/>
      <x:c r="H31" s="3"/>
      <x:c r="I31" s="3"/>
      <x:c r="J31" s="3"/>
      <x:c r="K31" s="3"/>
      <x:c r="L31" s="3"/>
      <x:c r="M31" s="3"/>
    </x:row>
    <x:row r="32" ht="23" customHeight="1">
      <x:c r="A32" s="3"/>
      <x:c r="B32" s="3"/>
      <x:c r="C32" s="3"/>
      <x:c r="D32" s="3"/>
      <x:c r="E32" s="3"/>
      <x:c r="F32" s="3"/>
      <x:c r="G32" s="3"/>
      <x:c r="H32" s="3"/>
      <x:c r="I32" s="3"/>
      <x:c r="J32" s="3"/>
      <x:c r="K32" s="3"/>
      <x:c r="L32" s="3"/>
      <x:c r="M32" s="3"/>
    </x:row>
    <x:row r="33" ht="23" customHeight="1">
      <x:c r="A33" s="3"/>
      <x:c r="B33" s="3"/>
      <x:c r="C33" s="3"/>
      <x:c r="D33" s="3"/>
      <x:c r="E33" s="3"/>
      <x:c r="F33" s="3"/>
      <x:c r="G33" s="3"/>
      <x:c r="H33" s="3"/>
      <x:c r="I33" s="3"/>
      <x:c r="J33" s="3"/>
      <x:c r="K33" s="3"/>
      <x:c r="L33" s="3"/>
      <x:c r="M33" s="3"/>
    </x:row>
    <x:row r="34" ht="23" customHeight="1">
      <x:c r="A34" s="3"/>
      <x:c r="B34" s="3"/>
      <x:c r="C34" s="3"/>
      <x:c r="D34" s="3"/>
      <x:c r="E34" s="3"/>
      <x:c r="F34" s="3"/>
      <x:c r="G34" s="3"/>
      <x:c r="H34" s="3"/>
      <x:c r="I34" s="3"/>
      <x:c r="J34" s="3"/>
      <x:c r="K34" s="3"/>
      <x:c r="L34" s="3"/>
      <x:c r="M34" s="3"/>
    </x:row>
    <x:row r="35" ht="23" customHeight="1">
      <x:c r="A35" s="3"/>
      <x:c r="B35" s="3"/>
      <x:c r="C35" s="3"/>
      <x:c r="D35" s="3"/>
      <x:c r="E35" s="3"/>
      <x:c r="F35" s="3"/>
      <x:c r="G35" s="3"/>
      <x:c r="H35" s="3"/>
      <x:c r="I35" s="3"/>
      <x:c r="J35" s="3"/>
      <x:c r="K35" s="3"/>
      <x:c r="L35" s="3"/>
      <x:c r="M35" s="3"/>
    </x:row>
    <x:row r="36" ht="23" customHeight="1">
      <x:c r="A36" s="3"/>
      <x:c r="B36" s="3"/>
      <x:c r="C36" s="3"/>
      <x:c r="D36" s="3"/>
      <x:c r="E36" s="3"/>
      <x:c r="F36" s="3"/>
      <x:c r="G36" s="3"/>
      <x:c r="H36" s="3"/>
      <x:c r="I36" s="3"/>
      <x:c r="J36" s="3"/>
      <x:c r="K36" s="3"/>
      <x:c r="L36" s="3"/>
      <x:c r="M36" s="3"/>
    </x:row>
    <x:row r="37" ht="23" customHeight="1">
      <x:c r="A37" s="3"/>
      <x:c r="B37" s="3"/>
      <x:c r="C37" s="3"/>
      <x:c r="D37" s="3"/>
      <x:c r="E37" s="3"/>
      <x:c r="F37" s="3"/>
      <x:c r="G37" s="3"/>
      <x:c r="H37" s="3"/>
      <x:c r="I37" s="3"/>
      <x:c r="J37" s="3"/>
      <x:c r="K37" s="3"/>
      <x:c r="L37" s="3"/>
      <x:c r="M37" s="3"/>
    </x:row>
    <x:row r="38" ht="23" customHeight="1">
      <x:c r="A38" s="3"/>
      <x:c r="B38" s="3"/>
      <x:c r="C38" s="3"/>
      <x:c r="D38" s="3"/>
      <x:c r="E38" s="3"/>
      <x:c r="F38" s="3"/>
      <x:c r="G38" s="3"/>
      <x:c r="H38" s="3"/>
      <x:c r="I38" s="3"/>
      <x:c r="J38" s="3"/>
      <x:c r="K38" s="3"/>
      <x:c r="L38" s="3"/>
      <x:c r="M38" s="3"/>
    </x:row>
    <x:row r="39" ht="23" customHeight="1">
      <x:c r="A39" s="3"/>
      <x:c r="B39" s="3"/>
      <x:c r="C39" s="3"/>
      <x:c r="D39" s="3"/>
      <x:c r="E39" s="3"/>
      <x:c r="F39" s="3"/>
      <x:c r="G39" s="3"/>
      <x:c r="H39" s="3"/>
      <x:c r="I39" s="3"/>
      <x:c r="J39" s="3"/>
      <x:c r="K39" s="3"/>
      <x:c r="L39" s="3"/>
      <x:c r="M39" s="3"/>
    </x:row>
    <x:row r="40" ht="23" customHeight="1">
      <x:c r="A40" s="3"/>
      <x:c r="B40" s="3"/>
      <x:c r="C40" s="3"/>
      <x:c r="D40" s="3"/>
      <x:c r="E40" s="3"/>
      <x:c r="F40" s="3"/>
      <x:c r="G40" s="3"/>
      <x:c r="H40" s="3"/>
      <x:c r="I40" s="3"/>
      <x:c r="J40" s="3"/>
      <x:c r="K40" s="3"/>
      <x:c r="L40" s="3"/>
      <x:c r="M40" s="3"/>
    </x:row>
    <x:row r="41" ht="23" customHeight="1">
      <x:c r="A41" s="3"/>
      <x:c r="B41" s="3"/>
      <x:c r="C41" s="3"/>
      <x:c r="D41" s="3"/>
      <x:c r="E41" s="3"/>
      <x:c r="F41" s="3"/>
      <x:c r="G41" s="3"/>
      <x:c r="H41" s="3"/>
      <x:c r="I41" s="3"/>
      <x:c r="J41" s="3"/>
      <x:c r="K41" s="3"/>
      <x:c r="L41" s="3"/>
      <x:c r="M41" s="3"/>
    </x:row>
    <x:row r="42" ht="23" customHeight="1">
      <x:c r="A42" s="3"/>
      <x:c r="B42" s="3"/>
      <x:c r="C42" s="3"/>
      <x:c r="D42" s="3"/>
      <x:c r="E42" s="3"/>
      <x:c r="F42" s="3"/>
      <x:c r="G42" s="3"/>
      <x:c r="H42" s="3"/>
      <x:c r="I42" s="3"/>
      <x:c r="J42" s="3"/>
      <x:c r="K42" s="3"/>
      <x:c r="L42" s="3"/>
      <x:c r="M42" s="3"/>
    </x:row>
    <x:row r="43" ht="23" customHeight="1">
      <x:c r="A43" s="3"/>
      <x:c r="B43" s="3"/>
      <x:c r="C43" s="3"/>
      <x:c r="D43" s="3"/>
      <x:c r="E43" s="3"/>
      <x:c r="F43" s="3"/>
      <x:c r="G43" s="3"/>
      <x:c r="H43" s="3"/>
      <x:c r="I43" s="3"/>
      <x:c r="J43" s="3"/>
      <x:c r="K43" s="3"/>
      <x:c r="L43" s="3"/>
      <x:c r="M43" s="3"/>
    </x:row>
    <x:row r="44" ht="23" customHeight="1">
      <x:c r="A44" s="3"/>
      <x:c r="B44" s="3"/>
      <x:c r="C44" s="3"/>
      <x:c r="D44" s="3"/>
      <x:c r="E44" s="3"/>
      <x:c r="F44" s="3"/>
      <x:c r="G44" s="3"/>
      <x:c r="H44" s="3"/>
      <x:c r="I44" s="3"/>
      <x:c r="J44" s="3"/>
      <x:c r="K44" s="3"/>
      <x:c r="L44" s="3"/>
      <x:c r="M44" s="3"/>
    </x:row>
    <x:row r="45" ht="23" customHeight="1">
      <x:c r="A45" s="3"/>
      <x:c r="B45" s="3"/>
      <x:c r="C45" s="3"/>
      <x:c r="D45" s="3"/>
      <x:c r="E45" s="3"/>
      <x:c r="F45" s="3"/>
      <x:c r="G45" s="3"/>
      <x:c r="H45" s="3"/>
      <x:c r="I45" s="3"/>
      <x:c r="J45" s="3"/>
      <x:c r="K45" s="3"/>
      <x:c r="L45" s="3"/>
      <x:c r="M45" s="3"/>
    </x:row>
    <x:row r="46" ht="23" customHeight="1">
      <x:c r="A46" s="3"/>
      <x:c r="B46" s="3"/>
      <x:c r="C46" s="3"/>
      <x:c r="D46" s="3"/>
      <x:c r="E46" s="3"/>
      <x:c r="F46" s="3"/>
      <x:c r="G46" s="3"/>
      <x:c r="H46" s="3"/>
      <x:c r="I46" s="3"/>
      <x:c r="J46" s="3"/>
      <x:c r="K46" s="3"/>
      <x:c r="L46" s="3"/>
      <x:c r="M46" s="3"/>
    </x:row>
    <x:row r="47" ht="23" customHeight="1">
      <x:c r="A47" s="3"/>
      <x:c r="B47" s="3"/>
      <x:c r="C47" s="3"/>
      <x:c r="D47" s="3"/>
      <x:c r="E47" s="3"/>
      <x:c r="F47" s="3"/>
      <x:c r="G47" s="3"/>
      <x:c r="H47" s="3"/>
      <x:c r="I47" s="3"/>
      <x:c r="J47" s="3"/>
      <x:c r="K47" s="3"/>
      <x:c r="L47" s="3"/>
      <x:c r="M47" s="3"/>
    </x:row>
    <x:row r="48" ht="23" customHeight="1">
      <x:c r="A48" s="3"/>
      <x:c r="B48" s="3"/>
      <x:c r="C48" s="3"/>
      <x:c r="D48" s="3"/>
      <x:c r="E48" s="3"/>
      <x:c r="F48" s="3"/>
      <x:c r="G48" s="3"/>
      <x:c r="H48" s="3"/>
      <x:c r="I48" s="3"/>
      <x:c r="J48" s="3"/>
      <x:c r="K48" s="3"/>
      <x:c r="L48" s="3"/>
      <x:c r="M48" s="3"/>
    </x:row>
    <x:row r="49" ht="23" customHeight="1">
      <x:c r="A49" s="3"/>
      <x:c r="B49" s="3"/>
      <x:c r="C49" s="3"/>
      <x:c r="D49" s="3"/>
      <x:c r="E49" s="3"/>
      <x:c r="F49" s="3"/>
      <x:c r="G49" s="3"/>
      <x:c r="H49" s="3"/>
      <x:c r="I49" s="3"/>
      <x:c r="J49" s="3"/>
      <x:c r="K49" s="3"/>
      <x:c r="L49" s="3"/>
      <x:c r="M49" s="3"/>
    </x:row>
    <x:row r="50" ht="23" customHeight="1">
      <x:c r="A50" s="3"/>
      <x:c r="B50" s="3"/>
      <x:c r="C50" s="3"/>
      <x:c r="D50" s="3"/>
      <x:c r="E50" s="3"/>
      <x:c r="F50" s="3"/>
      <x:c r="G50" s="3"/>
      <x:c r="H50" s="3"/>
      <x:c r="I50" s="3"/>
      <x:c r="J50" s="3"/>
      <x:c r="K50" s="3"/>
      <x:c r="L50" s="3"/>
      <x:c r="M50" s="3"/>
    </x:row>
    <x:row r="51" ht="23" customHeight="1">
      <x:c r="A51" s="3"/>
      <x:c r="B51" s="3"/>
      <x:c r="C51" s="3"/>
      <x:c r="D51" s="3"/>
      <x:c r="E51" s="3"/>
      <x:c r="F51" s="3"/>
      <x:c r="G51" s="3"/>
      <x:c r="H51" s="3"/>
      <x:c r="I51" s="3"/>
      <x:c r="J51" s="3"/>
      <x:c r="K51" s="3"/>
      <x:c r="L51" s="3"/>
      <x:c r="M51" s="3"/>
    </x:row>
    <x:row r="52" ht="23" customHeight="1">
      <x:c r="A52" s="3"/>
      <x:c r="B52" s="3"/>
      <x:c r="C52" s="3"/>
      <x:c r="D52" s="3"/>
      <x:c r="E52" s="3"/>
      <x:c r="F52" s="3"/>
      <x:c r="G52" s="3"/>
      <x:c r="H52" s="3"/>
      <x:c r="I52" s="3"/>
      <x:c r="J52" s="3"/>
      <x:c r="K52" s="3"/>
      <x:c r="L52" s="3"/>
      <x:c r="M52" s="3"/>
    </x:row>
    <x:row r="53" ht="23" customHeight="1">
      <x:c r="A53" s="3"/>
      <x:c r="B53" s="3"/>
      <x:c r="C53" s="3"/>
      <x:c r="D53" s="3"/>
      <x:c r="E53" s="3"/>
      <x:c r="F53" s="3"/>
      <x:c r="G53" s="3"/>
      <x:c r="H53" s="3"/>
      <x:c r="I53" s="3"/>
      <x:c r="J53" s="3"/>
      <x:c r="K53" s="3"/>
      <x:c r="L53" s="3"/>
      <x:c r="M53" s="3"/>
    </x:row>
    <x:row r="54" ht="23" customHeight="1">
      <x:c r="A54" s="3"/>
      <x:c r="B54" s="3"/>
      <x:c r="C54" s="3"/>
      <x:c r="D54" s="3"/>
      <x:c r="E54" s="3"/>
      <x:c r="F54" s="3"/>
      <x:c r="G54" s="3"/>
      <x:c r="H54" s="3"/>
      <x:c r="I54" s="3"/>
      <x:c r="J54" s="3"/>
      <x:c r="K54" s="3"/>
      <x:c r="L54" s="3"/>
      <x:c r="M54" s="3"/>
    </x:row>
    <x:row r="55" ht="23" customHeight="1">
      <x:c r="A55" s="3"/>
      <x:c r="B55" s="3"/>
      <x:c r="C55" s="3"/>
      <x:c r="D55" s="3"/>
      <x:c r="E55" s="3"/>
      <x:c r="F55" s="3"/>
      <x:c r="G55" s="3"/>
      <x:c r="H55" s="3"/>
      <x:c r="I55" s="3"/>
      <x:c r="J55" s="3"/>
      <x:c r="K55" s="3"/>
      <x:c r="L55" s="3"/>
      <x:c r="M55" s="3"/>
    </x:row>
    <x:row r="56" ht="23" customHeight="1">
      <x:c r="A56" s="3"/>
      <x:c r="B56" s="3"/>
      <x:c r="C56" s="3"/>
      <x:c r="D56" s="3"/>
      <x:c r="E56" s="3"/>
      <x:c r="F56" s="3"/>
      <x:c r="G56" s="3"/>
      <x:c r="H56" s="3"/>
      <x:c r="I56" s="3"/>
      <x:c r="J56" s="3"/>
      <x:c r="K56" s="3"/>
      <x:c r="L56" s="3"/>
      <x:c r="M56" s="3"/>
    </x:row>
    <x:row r="57" ht="23" customHeight="1">
      <x:c r="A57" s="3"/>
      <x:c r="B57" s="3"/>
      <x:c r="C57" s="3"/>
      <x:c r="D57" s="3"/>
      <x:c r="E57" s="3"/>
      <x:c r="F57" s="3"/>
      <x:c r="G57" s="3"/>
      <x:c r="H57" s="3"/>
      <x:c r="I57" s="3"/>
      <x:c r="J57" s="3"/>
      <x:c r="K57" s="3"/>
      <x:c r="L57" s="3"/>
      <x:c r="M57" s="3"/>
    </x:row>
    <x:row r="58" ht="23" customHeight="1">
      <x:c r="A58" s="3"/>
      <x:c r="B58" s="3"/>
      <x:c r="C58" s="3"/>
      <x:c r="D58" s="3"/>
      <x:c r="E58" s="3"/>
      <x:c r="F58" s="3"/>
      <x:c r="G58" s="3"/>
      <x:c r="H58" s="3"/>
      <x:c r="I58" s="3"/>
      <x:c r="J58" s="3"/>
      <x:c r="K58" s="3"/>
      <x:c r="L58" s="3"/>
      <x:c r="M58" s="3"/>
    </x:row>
    <x:row r="59" ht="23" customHeight="1">
      <x:c r="A59" s="3"/>
      <x:c r="B59" s="3"/>
      <x:c r="C59" s="3"/>
      <x:c r="D59" s="3"/>
      <x:c r="E59" s="3"/>
      <x:c r="F59" s="3"/>
      <x:c r="G59" s="3"/>
      <x:c r="H59" s="3"/>
      <x:c r="I59" s="3"/>
      <x:c r="J59" s="3"/>
      <x:c r="K59" s="3"/>
      <x:c r="L59" s="3"/>
      <x:c r="M59" s="3"/>
    </x:row>
    <x:row r="60" ht="23" customHeight="1">
      <x:c r="A60" s="3"/>
      <x:c r="B60" s="3"/>
      <x:c r="C60" s="3"/>
      <x:c r="D60" s="3"/>
      <x:c r="E60" s="3"/>
      <x:c r="F60" s="3"/>
      <x:c r="G60" s="3"/>
      <x:c r="H60" s="3"/>
      <x:c r="I60" s="3"/>
      <x:c r="J60" s="3"/>
      <x:c r="K60" s="3"/>
      <x:c r="L60" s="3"/>
      <x:c r="M60" s="3"/>
    </x:row>
    <x:row r="61" ht="23" customHeight="1">
      <x:c r="A61" s="3"/>
      <x:c r="B61" s="3"/>
      <x:c r="C61" s="3"/>
      <x:c r="D61" s="3"/>
      <x:c r="E61" s="3"/>
      <x:c r="F61" s="3"/>
      <x:c r="G61" s="3"/>
      <x:c r="H61" s="3"/>
      <x:c r="I61" s="3"/>
      <x:c r="J61" s="3"/>
      <x:c r="K61" s="3"/>
      <x:c r="L61" s="3"/>
      <x:c r="M61" s="3"/>
    </x:row>
    <x:row r="62" ht="23" customHeight="1">
      <x:c r="A62" s="3"/>
      <x:c r="B62" s="3"/>
      <x:c r="C62" s="3"/>
      <x:c r="D62" s="3"/>
      <x:c r="E62" s="3"/>
      <x:c r="F62" s="3"/>
      <x:c r="G62" s="3"/>
      <x:c r="H62" s="3"/>
      <x:c r="I62" s="3"/>
      <x:c r="J62" s="3"/>
      <x:c r="K62" s="3"/>
      <x:c r="L62" s="3"/>
      <x:c r="M62" s="3"/>
    </x:row>
    <x:row r="63" ht="23" customHeight="1">
      <x:c r="A63" s="3"/>
      <x:c r="B63" s="3"/>
      <x:c r="C63" s="3"/>
      <x:c r="D63" s="3"/>
      <x:c r="E63" s="3"/>
      <x:c r="F63" s="3"/>
      <x:c r="G63" s="3"/>
      <x:c r="H63" s="3"/>
      <x:c r="I63" s="3"/>
      <x:c r="J63" s="3"/>
      <x:c r="K63" s="3"/>
      <x:c r="L63" s="3"/>
      <x:c r="M63" s="3"/>
    </x:row>
    <x:row r="64" ht="23" customHeight="1">
      <x:c r="A64" s="3"/>
      <x:c r="B64" s="3"/>
      <x:c r="C64" s="3"/>
      <x:c r="D64" s="3"/>
      <x:c r="E64" s="3"/>
      <x:c r="F64" s="3"/>
      <x:c r="G64" s="3"/>
      <x:c r="H64" s="3"/>
      <x:c r="I64" s="3"/>
      <x:c r="J64" s="3"/>
      <x:c r="K64" s="3"/>
      <x:c r="L64" s="3"/>
      <x:c r="M64" s="3"/>
    </x:row>
    <x:row r="65" ht="23" customHeight="1">
      <x:c r="A65" s="3"/>
      <x:c r="B65" s="3"/>
      <x:c r="C65" s="3"/>
      <x:c r="D65" s="3"/>
      <x:c r="E65" s="3"/>
      <x:c r="F65" s="3"/>
      <x:c r="G65" s="3"/>
      <x:c r="H65" s="3"/>
      <x:c r="I65" s="3"/>
      <x:c r="J65" s="3"/>
      <x:c r="K65" s="3"/>
      <x:c r="L65" s="3"/>
      <x:c r="M65" s="3"/>
    </x:row>
  </x:sheetData>
  <x:mergeCells>
    <x:mergeCell ref="A1:G2"/>
    <x:mergeCell ref="A3:G3"/>
    <x:mergeCell ref="A4:G4"/>
    <x:mergeCell ref="A6:C6"/>
    <x:mergeCell ref="D6:E6"/>
    <x:mergeCell ref="F6:G6"/>
    <x:mergeCell ref="A7:C7"/>
    <x:mergeCell ref="D7:E7"/>
    <x:mergeCell ref="F7:G7"/>
    <x:mergeCell ref="A8:C8"/>
    <x:mergeCell ref="D8:E8"/>
    <x:mergeCell ref="F8:G8"/>
    <x:mergeCell ref="A9:C9"/>
    <x:mergeCell ref="D9:E9"/>
    <x:mergeCell ref="F9:G9"/>
    <x:mergeCell ref="A10:C10"/>
    <x:mergeCell ref="D10:E10"/>
    <x:mergeCell ref="F10:G10"/>
    <x:mergeCell ref="A11:C11"/>
    <x:mergeCell ref="D11:E11"/>
    <x:mergeCell ref="F11:G11"/>
    <x:mergeCell ref="A19:G21"/>
    <x:mergeCell ref="A23:G25"/>
    <x:mergeCell ref="A27:G29"/>
  </x:mergeCell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33" hidden="0" customWidth="1"/>
    <x:col min="3" max="3" width="17" hidden="0" customWidth="1"/>
    <x:col min="4" max="4" width="17" hidden="0" customWidth="1"/>
    <x:col min="5" max="5" width="40" hidden="0" customWidth="1"/>
  </x:cols>
  <x:sheetData>
    <x:row r="1" ht="23" customHeight="1">
      <x:c r="A1" s="8" t="str">
        <x:v>GIẢ ĐỊNH &amp; DỮ LIỆU CẦN THAY</x:v>
      </x:c>
      <x:c r="B1" s="8"/>
      <x:c r="C1" s="8"/>
      <x:c r="D1" s="8"/>
      <x:c r="E1" s="8"/>
      <x:c r="F1" s="3"/>
      <x:c r="G1" s="3"/>
      <x:c r="H1" s="3"/>
      <x:c r="I1" s="3"/>
      <x:c r="J1" s="3"/>
      <x:c r="K1" s="3"/>
      <x:c r="L1" s="3"/>
      <x:c r="M1" s="3"/>
    </x:row>
    <x:row r="2" ht="23" customHeight="1">
      <x:c r="A2" s="8"/>
      <x:c r="B2" s="8"/>
      <x:c r="C2" s="8"/>
      <x:c r="D2" s="8"/>
      <x:c r="E2" s="8"/>
      <x:c r="F2" s="3"/>
      <x:c r="G2" s="3"/>
      <x:c r="H2" s="3"/>
      <x:c r="I2" s="3"/>
      <x:c r="J2" s="3"/>
      <x:c r="K2" s="3"/>
      <x:c r="L2" s="3"/>
      <x:c r="M2" s="3"/>
    </x:row>
    <x:row r="3" ht="32" customHeight="1">
      <x:c r="A3" s="13" t="str">
        <x:v>Ngày lập 05/09/2026 | Đơn vị tiền: triệu đồng | Chữ xanh dương = đầu vào tự sửa</x:v>
      </x:c>
      <x:c r="B3" s="13"/>
      <x:c r="C3" s="13"/>
      <x:c r="D3" s="13"/>
      <x:c r="E3" s="13"/>
      <x:c r="F3" s="3"/>
      <x:c r="G3" s="3"/>
      <x:c r="H3" s="3"/>
      <x:c r="I3" s="3"/>
      <x:c r="J3" s="3"/>
      <x:c r="K3" s="3"/>
      <x:c r="L3" s="3"/>
      <x:c r="M3" s="3"/>
    </x:row>
    <x:row r="4" ht="30" customHeight="1">
      <x:c r="A4" s="18" t="str">
        <x:v>Mã</x:v>
      </x:c>
      <x:c r="B4" s="18" t="str">
        <x:v>Biến số</x:v>
      </x:c>
      <x:c r="C4" s="18" t="str">
        <x:v>Giá trị</x:v>
      </x:c>
      <x:c r="D4" s="18" t="str">
        <x:v>Đơn vị</x:v>
      </x:c>
      <x:c r="E4" s="18" t="str">
        <x:v>Cơ sở / điều cần xác minh</x:v>
      </x:c>
      <x:c r="F4" s="3"/>
      <x:c r="G4" s="3"/>
      <x:c r="H4" s="3"/>
      <x:c r="I4" s="3"/>
      <x:c r="J4" s="3"/>
      <x:c r="K4" s="3"/>
      <x:c r="L4" s="3"/>
      <x:c r="M4" s="3"/>
    </x:row>
    <x:row r="5" ht="52" customHeight="1">
      <x:c r="A5" s="22" t="str">
        <x:v>OPEN_DAYS</x:v>
      </x:c>
      <x:c r="B5" s="22" t="str">
        <x:v>Ngày mở cửa mỗi tháng</x:v>
      </x:c>
      <x:c r="C5" s="28" t="n">
        <x:v>26</x:v>
      </x:c>
      <x:c r="D5" s="3" t="str">
        <x:v>ngày</x:v>
      </x:c>
      <x:c r="E5" s="22" t="str">
        <x:v>Giả định vận hành 6 ngày/tuần; chưa tính mùa thấp điểm.</x:v>
      </x:c>
      <x:c r="F5" s="3"/>
      <x:c r="G5" s="3"/>
      <x:c r="H5" s="3"/>
      <x:c r="I5" s="3"/>
      <x:c r="J5" s="3"/>
      <x:c r="K5" s="3"/>
      <x:c r="L5" s="3"/>
      <x:c r="M5" s="3"/>
    </x:row>
    <x:row r="6" ht="52" customHeight="1">
      <x:c r="A6" s="22" t="str">
        <x:v>OPEN_HOURS</x:v>
      </x:c>
      <x:c r="B6" s="22" t="str">
        <x:v>Giờ phục vụ mỗi ngày</x:v>
      </x:c>
      <x:c r="C6" s="28" t="n">
        <x:v>8</x:v>
      </x:c>
      <x:c r="D6" s="3" t="str">
        <x:v>giờ</x:v>
      </x:c>
      <x:c r="E6" s="22" t="str">
        <x:v>Khung vận hành; không có lưu trú qua đêm.</x:v>
      </x:c>
      <x:c r="F6" s="3"/>
      <x:c r="G6" s="3"/>
      <x:c r="H6" s="3"/>
      <x:c r="I6" s="3"/>
      <x:c r="J6" s="3"/>
      <x:c r="K6" s="3"/>
      <x:c r="L6" s="3"/>
      <x:c r="M6" s="3"/>
    </x:row>
    <x:row r="7" ht="52" customHeight="1">
      <x:c r="A7" s="22" t="str">
        <x:v>SOC_ARPU</x:v>
      </x:c>
      <x:c r="B7" s="22" t="str">
        <x:v>Doanh thu bình quân hội viên CLB</x:v>
      </x:c>
      <x:c r="C7" s="28" t="n">
        <x:v>1.6</x:v>
      </x:c>
      <x:c r="D7" s="3" t="str">
        <x:v>triệu/người/tháng</x:v>
      </x:c>
      <x:c r="E7" s="22" t="str">
        <x:v>Giả định: 50% gói 1,2 triệu; 50% gói 2,0 triệu. Chưa kiểm chứng giá.</x:v>
      </x:c>
      <x:c r="F7" s="3"/>
      <x:c r="G7" s="3"/>
      <x:c r="H7" s="3"/>
      <x:c r="I7" s="3"/>
      <x:c r="J7" s="3"/>
      <x:c r="K7" s="3"/>
      <x:c r="L7" s="3"/>
      <x:c r="M7" s="3"/>
    </x:row>
    <x:row r="8" ht="52" customHeight="1">
      <x:c r="A8" s="22" t="str">
        <x:v>SOC_VISITS</x:v>
      </x:c>
      <x:c r="B8" s="22" t="str">
        <x:v>Lượt / hội viên CLB / tháng</x:v>
      </x:c>
      <x:c r="C8" s="28" t="n">
        <x:v>10</x:v>
      </x:c>
      <x:c r="D8" s="3" t="str">
        <x:v>lượt</x:v>
      </x:c>
      <x:c r="E8" s="22" t="str">
        <x:v>50% gói 8 lượt; 50% gói 12 lượt. Tính dùng hết quyền lợi.</x:v>
      </x:c>
      <x:c r="F8" s="3"/>
      <x:c r="G8" s="3"/>
      <x:c r="H8" s="3"/>
      <x:c r="I8" s="3"/>
      <x:c r="J8" s="3"/>
      <x:c r="K8" s="3"/>
      <x:c r="L8" s="3"/>
      <x:c r="M8" s="3"/>
    </x:row>
    <x:row r="9" ht="52" customHeight="1">
      <x:c r="A9" s="22" t="str">
        <x:v>SOC_HOURS</x:v>
      </x:c>
      <x:c r="B9" s="22" t="str">
        <x:v>Thời lượng một lượt CLB</x:v>
      </x:c>
      <x:c r="C9" s="28" t="n">
        <x:v>2.5</x:v>
      </x:c>
      <x:c r="D9" s="3" t="str">
        <x:v>giờ</x:v>
      </x:c>
      <x:c r="E9" s="22" t="str">
        <x:v>Không bán quyền đến không giới hạn.</x:v>
      </x:c>
      <x:c r="F9" s="3"/>
      <x:c r="G9" s="3"/>
      <x:c r="H9" s="3"/>
      <x:c r="I9" s="3"/>
      <x:c r="J9" s="3"/>
      <x:c r="K9" s="3"/>
      <x:c r="L9" s="3"/>
      <x:c r="M9" s="3"/>
    </x:row>
    <x:row r="10" ht="52" customHeight="1">
      <x:c r="A10" s="22" t="str">
        <x:v>SOC_VAR</x:v>
      </x:c>
      <x:c r="B10" s="22" t="str">
        <x:v>Biến phí một lượt CLB</x:v>
      </x:c>
      <x:c r="C10" s="28" t="n">
        <x:v>0.02</x:v>
      </x:c>
      <x:c r="D10" s="3" t="str">
        <x:v>triệu/lượt</x:v>
      </x:c>
      <x:c r="E10" s="22" t="str">
        <x:v>Trà, vật tư, vệ sinh; nhân sự và giáo viên đã nằm trong quỹ nhân sự.</x:v>
      </x:c>
      <x:c r="F10" s="3"/>
      <x:c r="G10" s="3"/>
      <x:c r="H10" s="3"/>
      <x:c r="I10" s="3"/>
      <x:c r="J10" s="3"/>
      <x:c r="K10" s="3"/>
      <x:c r="L10" s="3"/>
      <x:c r="M10" s="3"/>
    </x:row>
    <x:row r="11" ht="52" customHeight="1">
      <x:c r="A11" s="22" t="str">
        <x:v>DAY_ARPU</x:v>
      </x:c>
      <x:c r="B11" s="22" t="str">
        <x:v>Doanh thu bình quân bán trú</x:v>
      </x:c>
      <x:c r="C11" s="28" t="n">
        <x:v>5.5</x:v>
      </x:c>
      <x:c r="D11" s="3" t="str">
        <x:v>triệu/người/tháng</x:v>
      </x:c>
      <x:c r="E11" s="22" t="str">
        <x:v>Phương án có điều kiện: 50% gói 4,2 triệu; 50% gói 6,8 triệu.</x:v>
      </x:c>
      <x:c r="F11" s="3"/>
      <x:c r="G11" s="3"/>
      <x:c r="H11" s="3"/>
      <x:c r="I11" s="3"/>
      <x:c r="J11" s="3"/>
      <x:c r="K11" s="3"/>
      <x:c r="L11" s="3"/>
      <x:c r="M11" s="3"/>
    </x:row>
    <x:row r="12" ht="52" customHeight="1">
      <x:c r="A12" s="22" t="str">
        <x:v>DAY_DAYS</x:v>
      </x:c>
      <x:c r="B12" s="22" t="str">
        <x:v>Ngày / khách bán trú / tháng</x:v>
      </x:c>
      <x:c r="C12" s="28" t="n">
        <x:v>16</x:v>
      </x:c>
      <x:c r="D12" s="3" t="str">
        <x:v>ngày</x:v>
      </x:c>
      <x:c r="E12" s="22" t="str">
        <x:v>Trung bình gói 12 và 20 ngày; khách này không tính thêm hội viên CLB.</x:v>
      </x:c>
      <x:c r="F12" s="3"/>
      <x:c r="G12" s="3"/>
      <x:c r="H12" s="3"/>
      <x:c r="I12" s="3"/>
      <x:c r="J12" s="3"/>
      <x:c r="K12" s="3"/>
      <x:c r="L12" s="3"/>
      <x:c r="M12" s="3"/>
    </x:row>
    <x:row r="13" ht="52" customHeight="1">
      <x:c r="A13" s="22" t="str">
        <x:v>DAY_HOURS</x:v>
      </x:c>
      <x:c r="B13" s="22" t="str">
        <x:v>Thời lượng một ngày bán trú</x:v>
      </x:c>
      <x:c r="C13" s="28" t="n">
        <x:v>7.5</x:v>
      </x:c>
      <x:c r="D13" s="3" t="str">
        <x:v>giờ</x:v>
      </x:c>
      <x:c r="E13" s="22" t="str">
        <x:v>Giả định thử tài chính, không xác nhận điều kiện tiếp nhận.</x:v>
      </x:c>
      <x:c r="F13" s="3"/>
      <x:c r="G13" s="3"/>
      <x:c r="H13" s="3"/>
      <x:c r="I13" s="3"/>
      <x:c r="J13" s="3"/>
      <x:c r="K13" s="3"/>
      <x:c r="L13" s="3"/>
      <x:c r="M13" s="3"/>
    </x:row>
    <x:row r="14" ht="52" customHeight="1">
      <x:c r="A14" s="22" t="str">
        <x:v>DAY_VAR</x:v>
      </x:c>
      <x:c r="B14" s="22" t="str">
        <x:v>Biến phí một ngày bán trú</x:v>
      </x:c>
      <x:c r="C14" s="28" t="n">
        <x:v>0.075</x:v>
      </x:c>
      <x:c r="D14" s="3" t="str">
        <x:v>triệu/ngày-khách</x:v>
      </x:c>
      <x:c r="E14" s="22" t="str">
        <x:v>Bữa ăn và tiêu hao cơ bản; chưa gồm vận chuyển và chăm sóc chuyên biệt.</x:v>
      </x:c>
      <x:c r="F14" s="3"/>
      <x:c r="G14" s="3"/>
      <x:c r="H14" s="3"/>
      <x:c r="I14" s="3"/>
      <x:c r="J14" s="3"/>
      <x:c r="K14" s="3"/>
      <x:c r="L14" s="3"/>
      <x:c r="M14" s="3"/>
    </x:row>
    <x:row r="15" ht="52" customHeight="1">
      <x:c r="A15" s="22" t="str">
        <x:v>EXTRA_VAR</x:v>
      </x:c>
      <x:c r="B15" s="22" t="str">
        <x:v>Tỷ lệ biến phí doanh thu bổ sung</x:v>
      </x:c>
      <x:c r="C15" s="32" t="n">
        <x:v>0.45</x:v>
      </x:c>
      <x:c r="D15" s="3" t="str">
        <x:v>% doanh thu</x:v>
      </x:c>
      <x:c r="E15" s="22" t="str">
        <x:v>Lớp chuyên đề / dịch vụ bổ sung; chưa có hợp đồng doanh thu.</x:v>
      </x:c>
      <x:c r="F15" s="3"/>
      <x:c r="G15" s="3"/>
      <x:c r="H15" s="3"/>
      <x:c r="I15" s="3"/>
      <x:c r="J15" s="3"/>
      <x:c r="K15" s="3"/>
      <x:c r="L15" s="3"/>
      <x:c r="M15" s="3"/>
    </x:row>
    <x:row r="16" ht="52" customHeight="1">
      <x:c r="A16" s="22" t="str">
        <x:v>RENT</x:v>
      </x:c>
      <x:c r="B16" s="22" t="str">
        <x:v>Tiền thuê và phí mặt bằng</x:v>
      </x:c>
      <x:c r="C16" s="28" t="n">
        <x:v>60</x:v>
      </x:c>
      <x:c r="D16" s="3" t="str">
        <x:v>triệu/tháng</x:v>
      </x:c>
      <x:c r="E16" s="22" t="str">
        <x:v>Chưa có báo giá. Phải thay bằng hợp đồng thực tế, gồm phí quản lý.</x:v>
      </x:c>
      <x:c r="F16" s="3"/>
      <x:c r="G16" s="3"/>
      <x:c r="H16" s="3"/>
      <x:c r="I16" s="3"/>
      <x:c r="J16" s="3"/>
      <x:c r="K16" s="3"/>
      <x:c r="L16" s="3"/>
      <x:c r="M16" s="3"/>
    </x:row>
    <x:row r="17" ht="52" customHeight="1">
      <x:c r="A17" s="22" t="str">
        <x:v>UTIL</x:v>
      </x:c>
      <x:c r="B17" s="22" t="str">
        <x:v>Điện, nước, Internet</x:v>
      </x:c>
      <x:c r="C17" s="28" t="n">
        <x:v>18</x:v>
      </x:c>
      <x:c r="D17" s="3" t="str">
        <x:v>triệu/tháng</x:v>
      </x:c>
      <x:c r="E17" s="22" t="str">
        <x:v>Dự toán nội bộ, cần kiểm tra hệ điều hòa và đồng hồ riêng.</x:v>
      </x:c>
      <x:c r="F17" s="3"/>
      <x:c r="G17" s="3"/>
      <x:c r="H17" s="3"/>
      <x:c r="I17" s="3"/>
      <x:c r="J17" s="3"/>
      <x:c r="K17" s="3"/>
      <x:c r="L17" s="3"/>
      <x:c r="M17" s="3"/>
    </x:row>
    <x:row r="18" ht="52" customHeight="1">
      <x:c r="A18" s="22" t="str">
        <x:v>MARKETING</x:v>
      </x:c>
      <x:c r="B18" s="22" t="str">
        <x:v>Marketing</x:v>
      </x:c>
      <x:c r="C18" s="28" t="n">
        <x:v>15</x:v>
      </x:c>
      <x:c r="D18" s="3" t="str">
        <x:v>triệu/tháng</x:v>
      </x:c>
      <x:c r="E18" s="22" t="str">
        <x:v>Không gồm nhân sự đã tính trong payroll.</x:v>
      </x:c>
      <x:c r="F18" s="3"/>
      <x:c r="G18" s="3"/>
      <x:c r="H18" s="3"/>
      <x:c r="I18" s="3"/>
      <x:c r="J18" s="3"/>
      <x:c r="K18" s="3"/>
      <x:c r="L18" s="3"/>
      <x:c r="M18" s="3"/>
    </x:row>
    <x:row r="19" ht="52" customHeight="1">
      <x:c r="A19" s="22" t="str">
        <x:v>ADMIN</x:v>
      </x:c>
      <x:c r="B19" s="22" t="str">
        <x:v>Hành chính, bảo hiểm, phần mềm</x:v>
      </x:c>
      <x:c r="C19" s="28" t="n">
        <x:v>10</x:v>
      </x:c>
      <x:c r="D19" s="3" t="str">
        <x:v>triệu/tháng</x:v>
      </x:c>
      <x:c r="E19" s="22" t="str">
        <x:v>Cần báo giá bảo hiểm và dịch vụ kế toán theo phạm vi hoạt động.</x:v>
      </x:c>
      <x:c r="F19" s="3"/>
      <x:c r="G19" s="3"/>
      <x:c r="H19" s="3"/>
      <x:c r="I19" s="3"/>
      <x:c r="J19" s="3"/>
      <x:c r="K19" s="3"/>
      <x:c r="L19" s="3"/>
      <x:c r="M19" s="3"/>
    </x:row>
    <x:row r="20" ht="52" customHeight="1">
      <x:c r="A20" s="22" t="str">
        <x:v>MAINT</x:v>
      </x:c>
      <x:c r="B20" s="22" t="str">
        <x:v>Bảo trì, đào tạo, dự phòng vận hành</x:v>
      </x:c>
      <x:c r="C20" s="28" t="n">
        <x:v>7</x:v>
      </x:c>
      <x:c r="D20" s="3" t="str">
        <x:v>triệu/tháng</x:v>
      </x:c>
      <x:c r="E20" s="22" t="str">
        <x:v>Không thay thế dự phòng đầu tư ban đầu.</x:v>
      </x:c>
      <x:c r="F20" s="3"/>
      <x:c r="G20" s="3"/>
      <x:c r="H20" s="3"/>
      <x:c r="I20" s="3"/>
      <x:c r="J20" s="3"/>
      <x:c r="K20" s="3"/>
      <x:c r="L20" s="3"/>
      <x:c r="M20" s="3"/>
    </x:row>
    <x:row r="21" ht="52" customHeight="1">
      <x:c r="A21" s="22" t="str">
        <x:v>OTHER_FIXED</x:v>
      </x:c>
      <x:c r="B21" s="22" t="str">
        <x:v>Tổng cố định khác</x:v>
      </x:c>
      <x:c r="C21" s="30" t="n">
        <x:f>SUM(C17:C20)</x:f>
        <x:v>50</x:v>
      </x:c>
      <x:c r="D21" s="3" t="str">
        <x:v>triệu/tháng</x:v>
      </x:c>
      <x:c r="E21" s="22" t="str">
        <x:v>Tổng điện nước, marketing, hành chính, bảo trì.</x:v>
      </x:c>
      <x:c r="F21" s="3"/>
      <x:c r="G21" s="3"/>
      <x:c r="H21" s="3"/>
      <x:c r="I21" s="3"/>
      <x:c r="J21" s="3"/>
      <x:c r="K21" s="3"/>
      <x:c r="L21" s="3"/>
      <x:c r="M21" s="3"/>
    </x:row>
    <x:row r="22" ht="52" customHeight="1">
      <x:c r="A22" s="22" t="str">
        <x:v>SOC_CAPACITY</x:v>
      </x:c>
      <x:c r="B22" s="22" t="str">
        <x:v>Trần khách hiện diện cùng lúc</x:v>
      </x:c>
      <x:c r="C22" s="28" t="n">
        <x:v>50</x:v>
      </x:c>
      <x:c r="D22" s="3" t="str">
        <x:v>người</x:v>
      </x:c>
      <x:c r="E22" s="22" t="str">
        <x:v>Chỉ để mô phỏng. Giới hạn thật do thiết kế, PCCC, nhân sự và thoát nạn quyết định.</x:v>
      </x:c>
      <x:c r="F22" s="3"/>
      <x:c r="G22" s="3"/>
      <x:c r="H22" s="3"/>
      <x:c r="I22" s="3"/>
      <x:c r="J22" s="3"/>
      <x:c r="K22" s="3"/>
      <x:c r="L22" s="3"/>
      <x:c r="M22" s="3"/>
    </x:row>
    <x:row r="23" ht="52" customHeight="1">
      <x:c r="A23" s="22" t="str">
        <x:v>DAY_CAPACITY</x:v>
      </x:c>
      <x:c r="B23" s="22" t="str">
        <x:v>Trần khách bán trú mỗi ngày</x:v>
      </x:c>
      <x:c r="C23" s="28" t="n">
        <x:v>20</x:v>
      </x:c>
      <x:c r="D23" s="3" t="str">
        <x:v>người</x:v>
      </x:c>
      <x:c r="E23" s="22" t="str">
        <x:v>Chỉ giả định kinh tế. Chưa thẩm định pháp lý, diện tích hay sơ tán ở tầng 5.</x:v>
      </x:c>
      <x:c r="F23" s="3"/>
      <x:c r="G23" s="3"/>
      <x:c r="H23" s="3"/>
      <x:c r="I23" s="3"/>
      <x:c r="J23" s="3"/>
      <x:c r="K23" s="3"/>
      <x:c r="L23" s="3"/>
      <x:c r="M23" s="3"/>
    </x:row>
    <x:row r="24" ht="52" customHeight="1">
      <x:c r="A24" s="22" t="str">
        <x:v>CHURN</x:v>
      </x:c>
      <x:c r="B24" s="22" t="str">
        <x:v>Tỷ lệ không gia hạn mỗi tháng</x:v>
      </x:c>
      <x:c r="C24" s="32" t="n">
        <x:v>0.05</x:v>
      </x:c>
      <x:c r="D24" s="3" t="str">
        <x:v>% hội viên</x:v>
      </x:c>
      <x:c r="E24" s="22" t="str">
        <x:v>Giả định để thấy số khách mới cần bù; chưa có dữ liệu cohort.</x:v>
      </x:c>
      <x:c r="F24" s="3"/>
      <x:c r="G24" s="3"/>
      <x:c r="H24" s="3"/>
      <x:c r="I24" s="3"/>
      <x:c r="J24" s="3"/>
      <x:c r="K24" s="3"/>
      <x:c r="L24" s="3"/>
      <x:c r="M24" s="3"/>
    </x:row>
    <x:row r="25" ht="52" customHeight="1">
      <x:c r="A25" s="22" t="str">
        <x:v>CASH_BUFFER</x:v>
      </x:c>
      <x:c r="B25" s="22" t="str">
        <x:v>Tiền đệm tối thiểu</x:v>
      </x:c>
      <x:c r="C25" s="28" t="n">
        <x:v>2</x:v>
      </x:c>
      <x:c r="D25" s="3" t="str">
        <x:v>tháng cố định</x:v>
      </x:c>
      <x:c r="E25" s="22" t="str">
        <x:v>Ngưỡng quản trị nội bộ; không phải quy định hay bảo đảm đủ vốn.</x:v>
      </x:c>
      <x:c r="F25" s="3"/>
      <x:c r="G25" s="3"/>
      <x:c r="H25" s="3"/>
      <x:c r="I25" s="3"/>
      <x:c r="J25" s="3"/>
      <x:c r="K25" s="3"/>
      <x:c r="L25" s="3"/>
      <x:c r="M25" s="3"/>
    </x:row>
    <x:row r="26" ht="52" customHeight="1">
      <x:c r="A26" s="22" t="str">
        <x:v>DEPOSIT</x:v>
      </x:c>
      <x:c r="B26" s="22" t="str">
        <x:v>Số tháng đặt cọc thuê</x:v>
      </x:c>
      <x:c r="C26" s="28" t="n">
        <x:v>3</x:v>
      </x:c>
      <x:c r="D26" s="3" t="str">
        <x:v>tháng</x:v>
      </x:c>
      <x:c r="E26" s="22" t="str">
        <x:v>Giả định; cần điều khoản hoàn cọc nếu không đáp ứng điều kiện triển khai.</x:v>
      </x:c>
      <x:c r="F26" s="3"/>
      <x:c r="G26" s="3"/>
      <x:c r="H26" s="3"/>
      <x:c r="I26" s="3"/>
      <x:c r="J26" s="3"/>
      <x:c r="K26" s="3"/>
      <x:c r="L26" s="3"/>
      <x:c r="M26" s="3"/>
    </x:row>
    <x:row r="27" ht="52" customHeight="1">
      <x:c r="A27" s="22" t="str">
        <x:v>CAPEX_CONT</x:v>
      </x:c>
      <x:c r="B27" s="22" t="str">
        <x:v>Dự phòng chi phí đầu tư</x:v>
      </x:c>
      <x:c r="C27" s="32" t="n">
        <x:v>0.15</x:v>
      </x:c>
      <x:c r="D27" s="3" t="str">
        <x:v>% CAPEX gốc</x:v>
      </x:c>
      <x:c r="E27" s="22" t="str">
        <x:v>Cần báo giá và khảo sát hiện trạng trước khi chốt.</x:v>
      </x:c>
      <x:c r="F27" s="3"/>
      <x:c r="G27" s="3"/>
      <x:c r="H27" s="3"/>
      <x:c r="I27" s="3"/>
      <x:c r="J27" s="3"/>
      <x:c r="K27" s="3"/>
      <x:c r="L27" s="3"/>
      <x:c r="M27" s="3"/>
    </x:row>
    <x:row r="28" ht="52" customHeight="1">
      <x:c r="A28" s="22" t="str">
        <x:v>OPENING_CASH</x:v>
      </x:c>
      <x:c r="B28" s="22" t="str">
        <x:v>Vốn lưu động lúc mở cửa</x:v>
      </x:c>
      <x:c r="C28" s="30" t="n">
        <x:f>C43</x:f>
        <x:v>1100</x:v>
      </x:c>
      <x:c r="D28" s="3" t="str">
        <x:v>triệu</x:v>
      </x:c>
      <x:c r="E28" s="22" t="str">
        <x:v>Liên kết kịch bản cơ sở, dòng 43.</x:v>
      </x:c>
      <x:c r="F28" s="3"/>
      <x:c r="G28" s="3"/>
      <x:c r="H28" s="3"/>
      <x:c r="I28" s="3"/>
      <x:c r="J28" s="3"/>
      <x:c r="K28" s="3"/>
      <x:c r="L28" s="3"/>
      <x:c r="M28" s="3"/>
    </x:row>
    <x:row r="29" ht="52" customHeight="1">
      <x:c r="A29" s="22" t="str">
        <x:v>AREA</x:v>
      </x:c>
      <x:c r="B29" s="22" t="str">
        <x:v>Diện tích mặt bằng được cung cấp</x:v>
      </x:c>
      <x:c r="C29" s="28" t="n">
        <x:v>500</x:v>
      </x:c>
      <x:c r="D29" s="3" t="str">
        <x:v>m²</x:v>
      </x:c>
      <x:c r="E29" s="22" t="str">
        <x:v>Nguồn: người dùng. Chưa biết diện tích sử dụng thuần hay diện tích sàn.</x:v>
      </x:c>
      <x:c r="F29" s="3"/>
      <x:c r="G29" s="3"/>
      <x:c r="H29" s="3"/>
      <x:c r="I29" s="3"/>
      <x:c r="J29" s="3"/>
      <x:c r="K29" s="3"/>
      <x:c r="L29" s="3"/>
      <x:c r="M29" s="3"/>
    </x:row>
    <x:row r="30" ht="52" customHeight="1">
      <x:c r="A30" s="22" t="str">
        <x:v>DAY_LEGAL</x:v>
      </x:c>
      <x:c r="B30" s="22" t="str">
        <x:v>Trạng thái xác minh bán trú</x:v>
      </x:c>
      <x:c r="C30" s="25" t="str">
        <x:v>CHUA_XAC_NHAN</x:v>
      </x:c>
      <x:c r="D30" s="3" t="str">
        <x:v>trạng thái</x:v>
      </x:c>
      <x:c r="E30" s="22" t="str">
        <x:v>Không được coi kịch bản bán trú là phương án đã được phép triển khai.</x:v>
      </x:c>
      <x:c r="F30" s="3"/>
      <x:c r="G30" s="3"/>
      <x:c r="H30" s="3"/>
      <x:c r="I30" s="3"/>
      <x:c r="J30" s="3"/>
      <x:c r="K30" s="3"/>
      <x:c r="L30" s="3"/>
      <x:c r="M30" s="3"/>
    </x:row>
    <x:row r="31" ht="52" customHeight="1">
      <x:c r="A31" s="22" t="str">
        <x:v>NEW_MONTH_SHARE</x:v>
      </x:c>
      <x:c r="B31" s="22" t="str">
        <x:v>Tỷ lệ tháng đầu được ghi nhận</x:v>
      </x:c>
      <x:c r="C31" s="66" t="n">
        <x:v>0.5</x:v>
      </x:c>
      <x:c r="D31" s="22" t="str">
        <x:v>% tháng</x:v>
      </x:c>
      <x:c r="E31" s="22" t="str">
        <x:v>Giả định khách mới đến đều trong tháng; dòng tiền đơn giản hóa theo doanh thu ghi nhận.</x:v>
      </x:c>
      <x:c r="F31" s="3"/>
      <x:c r="G31" s="3"/>
      <x:c r="H31" s="3"/>
      <x:c r="I31" s="3"/>
      <x:c r="J31" s="3"/>
      <x:c r="K31" s="3"/>
      <x:c r="L31" s="3"/>
      <x:c r="M31" s="3"/>
    </x:row>
    <x:row r="32" ht="23" customHeight="1">
      <x:c r="A32" s="3"/>
      <x:c r="B32" s="3"/>
      <x:c r="C32" s="3"/>
      <x:c r="D32" s="3"/>
      <x:c r="E32" s="3"/>
      <x:c r="F32" s="3"/>
      <x:c r="G32" s="3"/>
      <x:c r="H32" s="3"/>
      <x:c r="I32" s="3"/>
      <x:c r="J32" s="3"/>
      <x:c r="K32" s="3"/>
      <x:c r="L32" s="3"/>
      <x:c r="M32" s="3"/>
    </x:row>
    <x:row r="33" ht="30" customHeight="1">
      <x:c r="A33" s="18" t="str">
        <x:v>ĐẦU VÀO CHO BA KỊCH BẢN</x:v>
      </x:c>
      <x:c r="B33" s="18"/>
      <x:c r="C33" s="18"/>
      <x:c r="D33" s="18"/>
      <x:c r="E33" s="18"/>
      <x:c r="F33" s="3"/>
      <x:c r="G33" s="3"/>
      <x:c r="H33" s="3"/>
      <x:c r="I33" s="3"/>
      <x:c r="J33" s="3"/>
      <x:c r="K33" s="3"/>
      <x:c r="L33" s="3"/>
      <x:c r="M33" s="3"/>
    </x:row>
    <x:row r="34" ht="23" customHeight="1">
      <x:c r="A34" s="3"/>
      <x:c r="B34" s="3"/>
      <x:c r="C34" s="3"/>
      <x:c r="D34" s="3"/>
      <x:c r="E34" s="3"/>
      <x:c r="F34" s="3"/>
      <x:c r="G34" s="3"/>
      <x:c r="H34" s="3"/>
      <x:c r="I34" s="3"/>
      <x:c r="J34" s="3"/>
      <x:c r="K34" s="3"/>
      <x:c r="L34" s="3"/>
      <x:c r="M34" s="3"/>
    </x:row>
    <x:row r="35" ht="30" customHeight="1">
      <x:c r="A35" s="18" t="str">
        <x:v>Chỉ tiêu</x:v>
      </x:c>
      <x:c r="B35" s="18" t="str">
        <x:v>Thấp</x:v>
      </x:c>
      <x:c r="C35" s="18" t="str">
        <x:v>Cơ sở</x:v>
      </x:c>
      <x:c r="D35" s="18" t="str">
        <x:v>Tốt</x:v>
      </x:c>
      <x:c r="E35" s="18" t="str">
        <x:v>Ghi chú</x:v>
      </x:c>
      <x:c r="F35" s="3"/>
      <x:c r="G35" s="3"/>
      <x:c r="H35" s="3"/>
      <x:c r="I35" s="3"/>
      <x:c r="J35" s="3"/>
      <x:c r="K35" s="3"/>
      <x:c r="L35" s="3"/>
      <x:c r="M35" s="3"/>
    </x:row>
    <x:row r="36" ht="54" customHeight="1">
      <x:c r="A36" s="22" t="str">
        <x:v>A. Số hội viên CLB</x:v>
      </x:c>
      <x:c r="B36" s="34" t="n">
        <x:v>100</x:v>
      </x:c>
      <x:c r="C36" s="34" t="n">
        <x:v>160</x:v>
      </x:c>
      <x:c r="D36" s="34" t="n">
        <x:v>200</x:v>
      </x:c>
      <x:c r="E36" s="22" t="str">
        <x:v>Số người trả phí; không phải khách đến cùng lúc.</x:v>
      </x:c>
      <x:c r="F36" s="3"/>
      <x:c r="G36" s="3"/>
      <x:c r="H36" s="3"/>
      <x:c r="I36" s="3"/>
      <x:c r="J36" s="3"/>
      <x:c r="K36" s="3"/>
      <x:c r="L36" s="3"/>
      <x:c r="M36" s="3"/>
    </x:row>
    <x:row r="37" ht="54" customHeight="1">
      <x:c r="A37" s="22" t="str">
        <x:v>A. Doanh thu bổ sung</x:v>
      </x:c>
      <x:c r="B37" s="34" t="n">
        <x:v>10</x:v>
      </x:c>
      <x:c r="C37" s="34" t="n">
        <x:v>20</x:v>
      </x:c>
      <x:c r="D37" s="34" t="n">
        <x:v>30</x:v>
      </x:c>
      <x:c r="E37" s="22" t="str">
        <x:v>Triệu/tháng, chưa gồm VAT.</x:v>
      </x:c>
      <x:c r="F37" s="3"/>
      <x:c r="G37" s="3"/>
      <x:c r="H37" s="3"/>
      <x:c r="I37" s="3"/>
      <x:c r="J37" s="3"/>
      <x:c r="K37" s="3"/>
      <x:c r="L37" s="3"/>
      <x:c r="M37" s="3"/>
    </x:row>
    <x:row r="38" ht="54" customHeight="1">
      <x:c r="A38" s="22" t="str">
        <x:v>A. Quỹ nhân sự</x:v>
      </x:c>
      <x:c r="B38" s="34" t="n">
        <x:v>95</x:v>
      </x:c>
      <x:c r="C38" s="34" t="n">
        <x:v>110</x:v>
      </x:c>
      <x:c r="D38" s="34" t="n">
        <x:v>125</x:v>
      </x:c>
      <x:c r="E38" s="22" t="str">
        <x:v>Triệu/tháng, gồm chi phí sử dụng lao động, giáo viên thuê ngoài, nghỉ bù.</x:v>
      </x:c>
      <x:c r="F38" s="3"/>
      <x:c r="G38" s="3"/>
      <x:c r="H38" s="3"/>
      <x:c r="I38" s="3"/>
      <x:c r="J38" s="3"/>
      <x:c r="K38" s="3"/>
      <x:c r="L38" s="3"/>
      <x:c r="M38" s="3"/>
    </x:row>
    <x:row r="39" ht="54" customHeight="1">
      <x:c r="A39" s="22" t="str">
        <x:v>B. Hội viên CLB riêng</x:v>
      </x:c>
      <x:c r="B39" s="34" t="n">
        <x:v>80</x:v>
      </x:c>
      <x:c r="C39" s="34" t="n">
        <x:v>120</x:v>
      </x:c>
      <x:c r="D39" s="34" t="n">
        <x:v>160</x:v>
      </x:c>
      <x:c r="E39" s="22" t="str">
        <x:v>Không trùng nhóm mua bán trú.</x:v>
      </x:c>
      <x:c r="F39" s="3"/>
      <x:c r="G39" s="3"/>
      <x:c r="H39" s="3"/>
      <x:c r="I39" s="3"/>
      <x:c r="J39" s="3"/>
      <x:c r="K39" s="3"/>
      <x:c r="L39" s="3"/>
      <x:c r="M39" s="3"/>
    </x:row>
    <x:row r="40" ht="54" customHeight="1">
      <x:c r="A40" s="22" t="str">
        <x:v>B. Khách mua bán trú</x:v>
      </x:c>
      <x:c r="B40" s="34" t="n">
        <x:v>12</x:v>
      </x:c>
      <x:c r="C40" s="34" t="n">
        <x:v>24</x:v>
      </x:c>
      <x:c r="D40" s="34" t="n">
        <x:v>28</x:v>
      </x:c>
      <x:c r="E40" s="22" t="str">
        <x:v>Giả định dùng 16 ngày/người/tháng.</x:v>
      </x:c>
      <x:c r="F40" s="3"/>
      <x:c r="G40" s="3"/>
      <x:c r="H40" s="3"/>
      <x:c r="I40" s="3"/>
      <x:c r="J40" s="3"/>
      <x:c r="K40" s="3"/>
      <x:c r="L40" s="3"/>
      <x:c r="M40" s="3"/>
    </x:row>
    <x:row r="41" ht="54" customHeight="1">
      <x:c r="A41" s="22" t="str">
        <x:v>B. Doanh thu bổ sung</x:v>
      </x:c>
      <x:c r="B41" s="34" t="n">
        <x:v>10</x:v>
      </x:c>
      <x:c r="C41" s="34" t="n">
        <x:v>20</x:v>
      </x:c>
      <x:c r="D41" s="34" t="n">
        <x:v>30</x:v>
      </x:c>
      <x:c r="E41" s="22" t="str">
        <x:v>Triệu/tháng, không dựa vào hoa hồng thuốc/thực phẩm chức năng.</x:v>
      </x:c>
      <x:c r="F41" s="3"/>
      <x:c r="G41" s="3"/>
      <x:c r="H41" s="3"/>
      <x:c r="I41" s="3"/>
      <x:c r="J41" s="3"/>
      <x:c r="K41" s="3"/>
      <x:c r="L41" s="3"/>
      <x:c r="M41" s="3"/>
    </x:row>
    <x:row r="42" ht="54" customHeight="1">
      <x:c r="A42" s="22" t="str">
        <x:v>B. Quỹ nhân sự</x:v>
      </x:c>
      <x:c r="B42" s="34" t="n">
        <x:v>130</x:v>
      </x:c>
      <x:c r="C42" s="34" t="n">
        <x:v>150</x:v>
      </x:c>
      <x:c r="D42" s="34" t="n">
        <x:v>165</x:v>
      </x:c>
      <x:c r="E42" s="22" t="str">
        <x:v>Tăng người chăm sóc và năng lực giám sát; chưa phải định biên được duyệt.</x:v>
      </x:c>
      <x:c r="F42" s="3"/>
      <x:c r="G42" s="3"/>
      <x:c r="H42" s="3"/>
      <x:c r="I42" s="3"/>
      <x:c r="J42" s="3"/>
      <x:c r="K42" s="3"/>
      <x:c r="L42" s="3"/>
      <x:c r="M42" s="3"/>
    </x:row>
    <x:row r="43" ht="54" customHeight="1">
      <x:c r="A43" s="22" t="str">
        <x:v>Vốn lưu động khi mở cửa</x:v>
      </x:c>
      <x:c r="B43" s="34" t="n">
        <x:v>900</x:v>
      </x:c>
      <x:c r="C43" s="34" t="n">
        <x:v>1100</x:v>
      </x:c>
      <x:c r="D43" s="34" t="n">
        <x:v>1300</x:v>
      </x:c>
      <x:c r="E43" s="22" t="str">
        <x:v>Dự phòng tiền mặt vận hành; chưa gồm CAPEX và cọc.</x:v>
      </x:c>
      <x:c r="F43" s="3"/>
      <x:c r="G43" s="3"/>
      <x:c r="H43" s="3"/>
      <x:c r="I43" s="3"/>
      <x:c r="J43" s="3"/>
      <x:c r="K43" s="3"/>
      <x:c r="L43" s="3"/>
      <x:c r="M43" s="3"/>
    </x:row>
    <x:row r="44" ht="23" customHeight="1">
      <x:c r="A44" s="3"/>
      <x:c r="B44" s="3"/>
      <x:c r="C44" s="3"/>
      <x:c r="D44" s="3"/>
      <x:c r="E44" s="3"/>
      <x:c r="F44" s="3"/>
      <x:c r="G44" s="3"/>
      <x:c r="H44" s="3"/>
      <x:c r="I44" s="3"/>
      <x:c r="J44" s="3"/>
      <x:c r="K44" s="3"/>
      <x:c r="L44" s="3"/>
      <x:c r="M44" s="3"/>
    </x:row>
    <x:row r="45" ht="23" customHeight="1">
      <x:c r="A45" s="3"/>
      <x:c r="B45" s="3"/>
      <x:c r="C45" s="3"/>
      <x:c r="D45" s="3"/>
      <x:c r="E45" s="3"/>
      <x:c r="F45" s="3"/>
      <x:c r="G45" s="3"/>
      <x:c r="H45" s="3"/>
      <x:c r="I45" s="3"/>
      <x:c r="J45" s="3"/>
      <x:c r="K45" s="3"/>
      <x:c r="L45" s="3"/>
      <x:c r="M45" s="3"/>
    </x:row>
    <x:row r="46" ht="30" customHeight="1">
      <x:c r="A46" s="18" t="str">
        <x:v>THỬ RAMP-UP</x:v>
      </x:c>
      <x:c r="B46" s="18" t="str">
        <x:v>Hội viên cuối tháng</x:v>
      </x:c>
      <x:c r="C46" s="18" t="str">
        <x:v>Doanh thu bổ sung</x:v>
      </x:c>
      <x:c r="D46" s="18" t="str">
        <x:v>Quỹ nhân sự</x:v>
      </x:c>
      <x:c r="E46" s="18" t="str">
        <x:v>Giả định, không phải dự báo</x:v>
      </x:c>
      <x:c r="F46" s="3"/>
      <x:c r="G46" s="3"/>
      <x:c r="H46" s="3"/>
      <x:c r="I46" s="3"/>
      <x:c r="J46" s="3"/>
      <x:c r="K46" s="3"/>
      <x:c r="L46" s="3"/>
      <x:c r="M46" s="3"/>
    </x:row>
    <x:row r="47" ht="36" customHeight="1">
      <x:c r="A47" s="3" t="n">
        <x:v>1</x:v>
      </x:c>
      <x:c r="B47" s="25" t="n">
        <x:v>40</x:v>
      </x:c>
      <x:c r="C47" s="28" t="n">
        <x:v>5</x:v>
      </x:c>
      <x:c r="D47" s="28" t="n">
        <x:v>95</x:v>
      </x:c>
      <x:c r="E47" s="22" t="str">
        <x:v>Sửa để thử tốc độ tăng trưởng và tuyển dụng.</x:v>
      </x:c>
      <x:c r="F47" s="3"/>
      <x:c r="G47" s="3"/>
      <x:c r="H47" s="3"/>
      <x:c r="I47" s="3"/>
      <x:c r="J47" s="3"/>
      <x:c r="K47" s="3"/>
      <x:c r="L47" s="3"/>
      <x:c r="M47" s="3"/>
    </x:row>
    <x:row r="48" ht="36" customHeight="1">
      <x:c r="A48" s="3" t="n">
        <x:v>2</x:v>
      </x:c>
      <x:c r="B48" s="25" t="n">
        <x:v>60</x:v>
      </x:c>
      <x:c r="C48" s="28" t="n">
        <x:v>8</x:v>
      </x:c>
      <x:c r="D48" s="28" t="n">
        <x:v>95</x:v>
      </x:c>
      <x:c r="E48" s="22" t="str">
        <x:v>Sửa để thử tốc độ tăng trưởng và tuyển dụng.</x:v>
      </x:c>
      <x:c r="F48" s="3"/>
      <x:c r="G48" s="3"/>
      <x:c r="H48" s="3"/>
      <x:c r="I48" s="3"/>
      <x:c r="J48" s="3"/>
      <x:c r="K48" s="3"/>
      <x:c r="L48" s="3"/>
      <x:c r="M48" s="3"/>
    </x:row>
    <x:row r="49" ht="36" customHeight="1">
      <x:c r="A49" s="3" t="n">
        <x:v>3</x:v>
      </x:c>
      <x:c r="B49" s="25" t="n">
        <x:v>80</x:v>
      </x:c>
      <x:c r="C49" s="28" t="n">
        <x:v>10</x:v>
      </x:c>
      <x:c r="D49" s="28" t="n">
        <x:v>95</x:v>
      </x:c>
      <x:c r="E49" s="22" t="str">
        <x:v>Sửa để thử tốc độ tăng trưởng và tuyển dụng.</x:v>
      </x:c>
      <x:c r="F49" s="3"/>
      <x:c r="G49" s="3"/>
      <x:c r="H49" s="3"/>
      <x:c r="I49" s="3"/>
      <x:c r="J49" s="3"/>
      <x:c r="K49" s="3"/>
      <x:c r="L49" s="3"/>
      <x:c r="M49" s="3"/>
    </x:row>
    <x:row r="50" ht="36" customHeight="1">
      <x:c r="A50" s="3" t="n">
        <x:v>4</x:v>
      </x:c>
      <x:c r="B50" s="25" t="n">
        <x:v>100</x:v>
      </x:c>
      <x:c r="C50" s="28" t="n">
        <x:v>12</x:v>
      </x:c>
      <x:c r="D50" s="28" t="n">
        <x:v>95</x:v>
      </x:c>
      <x:c r="E50" s="22" t="str">
        <x:v>Sửa để thử tốc độ tăng trưởng và tuyển dụng.</x:v>
      </x:c>
      <x:c r="F50" s="3"/>
      <x:c r="G50" s="3"/>
      <x:c r="H50" s="3"/>
      <x:c r="I50" s="3"/>
      <x:c r="J50" s="3"/>
      <x:c r="K50" s="3"/>
      <x:c r="L50" s="3"/>
      <x:c r="M50" s="3"/>
    </x:row>
    <x:row r="51" ht="36" customHeight="1">
      <x:c r="A51" s="3" t="n">
        <x:v>5</x:v>
      </x:c>
      <x:c r="B51" s="25" t="n">
        <x:v>120</x:v>
      </x:c>
      <x:c r="C51" s="28" t="n">
        <x:v>15</x:v>
      </x:c>
      <x:c r="D51" s="28" t="n">
        <x:v>110</x:v>
      </x:c>
      <x:c r="E51" s="22" t="str">
        <x:v>Sửa để thử tốc độ tăng trưởng và tuyển dụng.</x:v>
      </x:c>
      <x:c r="F51" s="3"/>
      <x:c r="G51" s="3"/>
      <x:c r="H51" s="3"/>
      <x:c r="I51" s="3"/>
      <x:c r="J51" s="3"/>
      <x:c r="K51" s="3"/>
      <x:c r="L51" s="3"/>
      <x:c r="M51" s="3"/>
    </x:row>
    <x:row r="52" ht="36" customHeight="1">
      <x:c r="A52" s="3" t="n">
        <x:v>6</x:v>
      </x:c>
      <x:c r="B52" s="25" t="n">
        <x:v>140</x:v>
      </x:c>
      <x:c r="C52" s="28" t="n">
        <x:v>17</x:v>
      </x:c>
      <x:c r="D52" s="28" t="n">
        <x:v>110</x:v>
      </x:c>
      <x:c r="E52" s="22" t="str">
        <x:v>Sửa để thử tốc độ tăng trưởng và tuyển dụng.</x:v>
      </x:c>
      <x:c r="F52" s="3"/>
      <x:c r="G52" s="3"/>
      <x:c r="H52" s="3"/>
      <x:c r="I52" s="3"/>
      <x:c r="J52" s="3"/>
      <x:c r="K52" s="3"/>
      <x:c r="L52" s="3"/>
      <x:c r="M52" s="3"/>
    </x:row>
    <x:row r="53" ht="36" customHeight="1">
      <x:c r="A53" s="3" t="n">
        <x:v>7</x:v>
      </x:c>
      <x:c r="B53" s="25" t="n">
        <x:v>150</x:v>
      </x:c>
      <x:c r="C53" s="28" t="n">
        <x:v>18</x:v>
      </x:c>
      <x:c r="D53" s="28" t="n">
        <x:v>110</x:v>
      </x:c>
      <x:c r="E53" s="22" t="str">
        <x:v>Sửa để thử tốc độ tăng trưởng và tuyển dụng.</x:v>
      </x:c>
      <x:c r="F53" s="3"/>
      <x:c r="G53" s="3"/>
      <x:c r="H53" s="3"/>
      <x:c r="I53" s="3"/>
      <x:c r="J53" s="3"/>
      <x:c r="K53" s="3"/>
      <x:c r="L53" s="3"/>
      <x:c r="M53" s="3"/>
    </x:row>
    <x:row r="54" ht="36" customHeight="1">
      <x:c r="A54" s="3" t="n">
        <x:v>8</x:v>
      </x:c>
      <x:c r="B54" s="25" t="n">
        <x:v>160</x:v>
      </x:c>
      <x:c r="C54" s="28" t="n">
        <x:v>20</x:v>
      </x:c>
      <x:c r="D54" s="28" t="n">
        <x:v>110</x:v>
      </x:c>
      <x:c r="E54" s="22" t="str">
        <x:v>Sửa để thử tốc độ tăng trưởng và tuyển dụng.</x:v>
      </x:c>
      <x:c r="F54" s="3"/>
      <x:c r="G54" s="3"/>
      <x:c r="H54" s="3"/>
      <x:c r="I54" s="3"/>
      <x:c r="J54" s="3"/>
      <x:c r="K54" s="3"/>
      <x:c r="L54" s="3"/>
      <x:c r="M54" s="3"/>
    </x:row>
    <x:row r="55" ht="36" customHeight="1">
      <x:c r="A55" s="3" t="n">
        <x:v>9</x:v>
      </x:c>
      <x:c r="B55" s="25" t="n">
        <x:v>170</x:v>
      </x:c>
      <x:c r="C55" s="28" t="n">
        <x:v>22</x:v>
      </x:c>
      <x:c r="D55" s="28" t="n">
        <x:v>110</x:v>
      </x:c>
      <x:c r="E55" s="22" t="str">
        <x:v>Sửa để thử tốc độ tăng trưởng và tuyển dụng.</x:v>
      </x:c>
      <x:c r="F55" s="3"/>
      <x:c r="G55" s="3"/>
      <x:c r="H55" s="3"/>
      <x:c r="I55" s="3"/>
      <x:c r="J55" s="3"/>
      <x:c r="K55" s="3"/>
      <x:c r="L55" s="3"/>
      <x:c r="M55" s="3"/>
    </x:row>
    <x:row r="56" ht="36" customHeight="1">
      <x:c r="A56" s="3" t="n">
        <x:v>10</x:v>
      </x:c>
      <x:c r="B56" s="25" t="n">
        <x:v>180</x:v>
      </x:c>
      <x:c r="C56" s="28" t="n">
        <x:v>25</x:v>
      </x:c>
      <x:c r="D56" s="28" t="n">
        <x:v>125</x:v>
      </x:c>
      <x:c r="E56" s="22" t="str">
        <x:v>Sửa để thử tốc độ tăng trưởng và tuyển dụng.</x:v>
      </x:c>
      <x:c r="F56" s="3"/>
      <x:c r="G56" s="3"/>
      <x:c r="H56" s="3"/>
      <x:c r="I56" s="3"/>
      <x:c r="J56" s="3"/>
      <x:c r="K56" s="3"/>
      <x:c r="L56" s="3"/>
      <x:c r="M56" s="3"/>
    </x:row>
    <x:row r="57" ht="36" customHeight="1">
      <x:c r="A57" s="3" t="n">
        <x:v>11</x:v>
      </x:c>
      <x:c r="B57" s="25" t="n">
        <x:v>190</x:v>
      </x:c>
      <x:c r="C57" s="28" t="n">
        <x:v>28</x:v>
      </x:c>
      <x:c r="D57" s="28" t="n">
        <x:v>125</x:v>
      </x:c>
      <x:c r="E57" s="22" t="str">
        <x:v>Sửa để thử tốc độ tăng trưởng và tuyển dụng.</x:v>
      </x:c>
      <x:c r="F57" s="3"/>
      <x:c r="G57" s="3"/>
      <x:c r="H57" s="3"/>
      <x:c r="I57" s="3"/>
      <x:c r="J57" s="3"/>
      <x:c r="K57" s="3"/>
      <x:c r="L57" s="3"/>
      <x:c r="M57" s="3"/>
    </x:row>
    <x:row r="58" ht="36" customHeight="1">
      <x:c r="A58" s="3" t="n">
        <x:v>12</x:v>
      </x:c>
      <x:c r="B58" s="25" t="n">
        <x:v>200</x:v>
      </x:c>
      <x:c r="C58" s="28" t="n">
        <x:v>30</x:v>
      </x:c>
      <x:c r="D58" s="28" t="n">
        <x:v>125</x:v>
      </x:c>
      <x:c r="E58" s="22" t="str">
        <x:v>Sửa để thử tốc độ tăng trưởng và tuyển dụng.</x:v>
      </x:c>
      <x:c r="F58" s="3"/>
      <x:c r="G58" s="3"/>
      <x:c r="H58" s="3"/>
      <x:c r="I58" s="3"/>
      <x:c r="J58" s="3"/>
      <x:c r="K58" s="3"/>
      <x:c r="L58" s="3"/>
      <x:c r="M58" s="3"/>
    </x:row>
    <x:row r="59" ht="23" customHeight="1">
      <x:c r="A59" s="3"/>
      <x:c r="B59" s="3"/>
      <x:c r="C59" s="3"/>
      <x:c r="D59" s="3"/>
      <x:c r="E59" s="3"/>
      <x:c r="F59" s="3"/>
      <x:c r="G59" s="3"/>
      <x:c r="H59" s="3"/>
      <x:c r="I59" s="3"/>
      <x:c r="J59" s="3"/>
      <x:c r="K59" s="3"/>
      <x:c r="L59" s="3"/>
      <x:c r="M59" s="3"/>
    </x:row>
    <x:row r="60" ht="23" customHeight="1">
      <x:c r="A60" s="3"/>
      <x:c r="B60" s="3"/>
      <x:c r="C60" s="3"/>
      <x:c r="D60" s="3"/>
      <x:c r="E60" s="3"/>
      <x:c r="F60" s="3"/>
      <x:c r="G60" s="3"/>
      <x:c r="H60" s="3"/>
      <x:c r="I60" s="3"/>
      <x:c r="J60" s="3"/>
      <x:c r="K60" s="3"/>
      <x:c r="L60" s="3"/>
      <x:c r="M60" s="3"/>
    </x:row>
    <x:row r="61" ht="23" customHeight="1">
      <x:c r="A61" s="3"/>
      <x:c r="B61" s="3"/>
      <x:c r="C61" s="3"/>
      <x:c r="D61" s="3"/>
      <x:c r="E61" s="3"/>
      <x:c r="F61" s="3"/>
      <x:c r="G61" s="3"/>
      <x:c r="H61" s="3"/>
      <x:c r="I61" s="3"/>
      <x:c r="J61" s="3"/>
      <x:c r="K61" s="3"/>
      <x:c r="L61" s="3"/>
      <x:c r="M61" s="3"/>
    </x:row>
    <x:row r="62" ht="23" customHeight="1">
      <x:c r="A62" s="3"/>
      <x:c r="B62" s="3"/>
      <x:c r="C62" s="3"/>
      <x:c r="D62" s="3"/>
      <x:c r="E62" s="3"/>
      <x:c r="F62" s="3"/>
      <x:c r="G62" s="3"/>
      <x:c r="H62" s="3"/>
      <x:c r="I62" s="3"/>
      <x:c r="J62" s="3"/>
      <x:c r="K62" s="3"/>
      <x:c r="L62" s="3"/>
      <x:c r="M62" s="3"/>
    </x:row>
    <x:row r="63" ht="23" customHeight="1">
      <x:c r="A63" s="3"/>
      <x:c r="B63" s="3"/>
      <x:c r="C63" s="3"/>
      <x:c r="D63" s="3"/>
      <x:c r="E63" s="3"/>
      <x:c r="F63" s="3"/>
      <x:c r="G63" s="3"/>
      <x:c r="H63" s="3"/>
      <x:c r="I63" s="3"/>
      <x:c r="J63" s="3"/>
      <x:c r="K63" s="3"/>
      <x:c r="L63" s="3"/>
      <x:c r="M63" s="3"/>
    </x:row>
    <x:row r="64" ht="23" customHeight="1">
      <x:c r="A64" s="3"/>
      <x:c r="B64" s="3"/>
      <x:c r="C64" s="3"/>
      <x:c r="D64" s="3"/>
      <x:c r="E64" s="3"/>
      <x:c r="F64" s="3"/>
      <x:c r="G64" s="3"/>
      <x:c r="H64" s="3"/>
      <x:c r="I64" s="3"/>
      <x:c r="J64" s="3"/>
      <x:c r="K64" s="3"/>
      <x:c r="L64" s="3"/>
      <x:c r="M64" s="3"/>
    </x:row>
    <x:row r="65" ht="23" customHeight="1">
      <x:c r="A65" s="3"/>
      <x:c r="B65" s="3"/>
      <x:c r="C65" s="3"/>
      <x:c r="D65" s="3"/>
      <x:c r="E65" s="3"/>
      <x:c r="F65" s="3"/>
      <x:c r="G65" s="3"/>
      <x:c r="H65" s="3"/>
      <x:c r="I65" s="3"/>
      <x:c r="J65" s="3"/>
      <x:c r="K65" s="3"/>
      <x:c r="L65" s="3"/>
      <x:c r="M65" s="3"/>
    </x:row>
  </x:sheetData>
  <x:mergeCells>
    <x:mergeCell ref="A1:E2"/>
    <x:mergeCell ref="A3:E3"/>
    <x:mergeCell ref="A33:E33"/>
  </x:mergeCells>
  <x:dataValidations count="1">
    <x:dataValidation type="list" sqref="C30">
      <x:formula1>"CHUA_XAC_NHAN,DA_THAM_DINH"</x:formula1>
    </x:dataValidation>
  </x:dataValidations>
  <x:pageMargins left="0.7" right="0.7" top="0.75" bottom="0.75" header="0.3" footer="0.3"/>
  <x:legacyDrawing xmlns:r="http://schemas.openxmlformats.org/officeDocument/2006/relationships" r:id="Reb84dfeb558d4b18"/>
</x:worksheet>
</file>

<file path=xl/worksheets/sheet3.xml><?xml version="1.0" encoding="utf-8"?>
<x:worksheet xmlns:x="http://schemas.openxmlformats.org/spreadsheetml/2006/main">
  <x:sheetFormatPr defaultRowHeight="15"/>
  <x:cols>
    <x:col min="1" max="1" width="39" hidden="0" customWidth="1"/>
    <x:col min="2" max="2" width="17" hidden="0" customWidth="1"/>
    <x:col min="3" max="3" width="17" hidden="0" customWidth="1"/>
    <x:col min="4" max="4" width="17" hidden="0" customWidth="1"/>
    <x:col min="5" max="5" width="40" hidden="0" customWidth="1"/>
  </x:cols>
  <x:sheetData>
    <x:row r="1" ht="23" customHeight="1">
      <x:c r="A1" s="8" t="str">
        <x:v>A. CÂU LẠC BỘ THÀNH VIÊN</x:v>
      </x:c>
      <x:c r="B1" s="8"/>
      <x:c r="C1" s="8"/>
      <x:c r="D1" s="8"/>
      <x:c r="E1" s="8"/>
      <x:c r="F1" s="3"/>
      <x:c r="G1" s="3"/>
      <x:c r="H1" s="3"/>
      <x:c r="I1" s="3"/>
      <x:c r="J1" s="3"/>
      <x:c r="K1" s="3"/>
      <x:c r="L1" s="3"/>
      <x:c r="M1" s="3"/>
    </x:row>
    <x:row r="2" ht="23" customHeight="1">
      <x:c r="A2" s="8"/>
      <x:c r="B2" s="8"/>
      <x:c r="C2" s="8"/>
      <x:c r="D2" s="8"/>
      <x:c r="E2" s="8"/>
      <x:c r="F2" s="3"/>
      <x:c r="G2" s="3"/>
      <x:c r="H2" s="3"/>
      <x:c r="I2" s="3"/>
      <x:c r="J2" s="3"/>
      <x:c r="K2" s="3"/>
      <x:c r="L2" s="3"/>
      <x:c r="M2" s="3"/>
    </x:row>
    <x:row r="3" ht="32" customHeight="1">
      <x:c r="A3" s="13" t="str">
        <x:v>Triệu đồng / tháng | Phương án A: chỉ CLB, người còn tự chủ</x:v>
      </x:c>
      <x:c r="B3" s="13"/>
      <x:c r="C3" s="13"/>
      <x:c r="D3" s="13"/>
      <x:c r="E3" s="13"/>
      <x:c r="F3" s="3"/>
      <x:c r="G3" s="3"/>
      <x:c r="H3" s="3"/>
      <x:c r="I3" s="3"/>
      <x:c r="J3" s="3"/>
      <x:c r="K3" s="3"/>
      <x:c r="L3" s="3"/>
      <x:c r="M3" s="3"/>
    </x:row>
    <x:row r="4" ht="30" customHeight="1">
      <x:c r="A4" s="18" t="str">
        <x:v>Chỉ tiêu</x:v>
      </x:c>
      <x:c r="B4" s="18" t="str">
        <x:v>Thấp</x:v>
      </x:c>
      <x:c r="C4" s="18" t="str">
        <x:v>Cơ sở</x:v>
      </x:c>
      <x:c r="D4" s="18" t="str">
        <x:v>Tốt</x:v>
      </x:c>
      <x:c r="E4" s="18" t="str">
        <x:v>Cách đọc</x:v>
      </x:c>
      <x:c r="F4" s="3"/>
      <x:c r="G4" s="3"/>
      <x:c r="H4" s="3"/>
      <x:c r="I4" s="3"/>
      <x:c r="J4" s="3"/>
      <x:c r="K4" s="3"/>
      <x:c r="L4" s="3"/>
      <x:c r="M4" s="3"/>
    </x:row>
    <x:row r="5" ht="38" customHeight="1">
      <x:c r="A5" s="22" t="str">
        <x:v>Hội viên CLB riêng</x:v>
      </x:c>
      <x:c r="B5" s="56" t="n">
        <x:f>'Gia_dinh'!B36</x:f>
        <x:v>100</x:v>
      </x:c>
      <x:c r="C5" s="56" t="n">
        <x:f>'Gia_dinh'!C36</x:f>
        <x:v>160</x:v>
      </x:c>
      <x:c r="D5" s="56" t="n">
        <x:f>'Gia_dinh'!D36</x:f>
        <x:v>200</x:v>
      </x:c>
      <x:c r="E5" s="22" t="str">
        <x:v>Nhóm CLB không trùng nhóm mua bán trú.</x:v>
      </x:c>
      <x:c r="F5" s="3"/>
      <x:c r="G5" s="3"/>
      <x:c r="H5" s="3"/>
      <x:c r="I5" s="3"/>
      <x:c r="J5" s="3"/>
      <x:c r="K5" s="3"/>
      <x:c r="L5" s="3"/>
      <x:c r="M5" s="3"/>
    </x:row>
    <x:row r="6" ht="38" customHeight="1">
      <x:c r="A6" s="22" t="str">
        <x:v>Khách mua bán trú</x:v>
      </x:c>
      <x:c r="B6" s="58" t="n">
        <x:f>0</x:f>
        <x:v>0</x:v>
      </x:c>
      <x:c r="C6" s="58" t="n">
        <x:f>0</x:f>
        <x:v>0</x:v>
      </x:c>
      <x:c r="D6" s="58" t="n">
        <x:f>0</x:f>
        <x:v>0</x:v>
      </x:c>
      <x:c r="E6" s="22" t="str">
        <x:v>Chỉ áp dụng ở kịch bản có điều kiện.</x:v>
      </x:c>
      <x:c r="F6" s="3"/>
      <x:c r="G6" s="3"/>
      <x:c r="H6" s="3"/>
      <x:c r="I6" s="3"/>
      <x:c r="J6" s="3"/>
      <x:c r="K6" s="3"/>
      <x:c r="L6" s="3"/>
      <x:c r="M6" s="3"/>
    </x:row>
    <x:row r="7" ht="38" customHeight="1">
      <x:c r="A7" s="22" t="str">
        <x:v>Doanh thu bổ sung</x:v>
      </x:c>
      <x:c r="B7" s="38" t="n">
        <x:f>'Gia_dinh'!B37</x:f>
        <x:v>10</x:v>
      </x:c>
      <x:c r="C7" s="38" t="n">
        <x:f>'Gia_dinh'!C37</x:f>
        <x:v>20</x:v>
      </x:c>
      <x:c r="D7" s="38" t="n">
        <x:f>'Gia_dinh'!D37</x:f>
        <x:v>30</x:v>
      </x:c>
      <x:c r="E7" s="22" t="str">
        <x:v>Chưa kiểm chứng đầu ra; không có hoa hồng y tế.</x:v>
      </x:c>
      <x:c r="F7" s="3"/>
      <x:c r="G7" s="3"/>
      <x:c r="H7" s="3"/>
      <x:c r="I7" s="3"/>
      <x:c r="J7" s="3"/>
      <x:c r="K7" s="3"/>
      <x:c r="L7" s="3"/>
      <x:c r="M7" s="3"/>
    </x:row>
    <x:row r="8" ht="38" customHeight="1">
      <x:c r="A8" s="22" t="str">
        <x:v>Quỹ nhân sự</x:v>
      </x:c>
      <x:c r="B8" s="38" t="n">
        <x:f>'Gia_dinh'!B38</x:f>
        <x:v>95</x:v>
      </x:c>
      <x:c r="C8" s="38" t="n">
        <x:f>'Gia_dinh'!C38</x:f>
        <x:v>110</x:v>
      </x:c>
      <x:c r="D8" s="38" t="n">
        <x:f>'Gia_dinh'!D38</x:f>
        <x:v>125</x:v>
      </x:c>
      <x:c r="E8" s="22" t="str">
        <x:v>Đã gồm nhân sự hợp đồng và chi phí sử dụng lao động.</x:v>
      </x:c>
      <x:c r="F8" s="3"/>
      <x:c r="G8" s="3"/>
      <x:c r="H8" s="3"/>
      <x:c r="I8" s="3"/>
      <x:c r="J8" s="3"/>
      <x:c r="K8" s="3"/>
      <x:c r="L8" s="3"/>
      <x:c r="M8" s="3"/>
    </x:row>
    <x:row r="9" ht="38" customHeight="1">
      <x:c r="A9" s="22" t="str">
        <x:v>Doanh thu hội viên CLB</x:v>
      </x:c>
      <x:c r="B9" s="38" t="n">
        <x:f>B5*'Gia_dinh'!$C$7</x:f>
        <x:v>160</x:v>
      </x:c>
      <x:c r="C9" s="38" t="n">
        <x:f>C5*'Gia_dinh'!$C$7</x:f>
        <x:v>256</x:v>
      </x:c>
      <x:c r="D9" s="38" t="n">
        <x:f>D5*'Gia_dinh'!$C$7</x:f>
        <x:v>320</x:v>
      </x:c>
      <x:c r="E9" s="22" t="str"/>
      <x:c r="F9" s="3"/>
      <x:c r="G9" s="3"/>
      <x:c r="H9" s="3"/>
      <x:c r="I9" s="3"/>
      <x:c r="J9" s="3"/>
      <x:c r="K9" s="3"/>
      <x:c r="L9" s="3"/>
      <x:c r="M9" s="3"/>
    </x:row>
    <x:row r="10" ht="38" customHeight="1">
      <x:c r="A10" s="22" t="str">
        <x:v>Doanh thu bán trú</x:v>
      </x:c>
      <x:c r="B10" s="38" t="n">
        <x:f>B6*'Gia_dinh'!$C$11</x:f>
        <x:v>0</x:v>
      </x:c>
      <x:c r="C10" s="38" t="n">
        <x:f>C6*'Gia_dinh'!$C$11</x:f>
        <x:v>0</x:v>
      </x:c>
      <x:c r="D10" s="38" t="n">
        <x:f>D6*'Gia_dinh'!$C$11</x:f>
        <x:v>0</x:v>
      </x:c>
      <x:c r="E10" s="22" t="str"/>
      <x:c r="F10" s="3"/>
      <x:c r="G10" s="3"/>
      <x:c r="H10" s="3"/>
      <x:c r="I10" s="3"/>
      <x:c r="J10" s="3"/>
      <x:c r="K10" s="3"/>
      <x:c r="L10" s="3"/>
      <x:c r="M10" s="3"/>
    </x:row>
    <x:row r="11" ht="38" customHeight="1">
      <x:c r="A11" s="44" t="str">
        <x:v>Tổng doanh thu</x:v>
      </x:c>
      <x:c r="B11" s="45" t="n">
        <x:f>SUM(B9:B10)+B7</x:f>
        <x:v>170</x:v>
      </x:c>
      <x:c r="C11" s="45" t="n">
        <x:f>SUM(C9:C10)+C7</x:f>
        <x:v>276</x:v>
      </x:c>
      <x:c r="D11" s="45" t="n">
        <x:f>SUM(D9:D10)+D7</x:f>
        <x:v>350</x:v>
      </x:c>
      <x:c r="E11" s="40" t="str">
        <x:v>Giá doanh thu thuần giả định; phải xác định VAT trước khi niêm yết.</x:v>
      </x:c>
      <x:c r="F11" s="3"/>
      <x:c r="G11" s="3"/>
      <x:c r="H11" s="3"/>
      <x:c r="I11" s="3"/>
      <x:c r="J11" s="3"/>
      <x:c r="K11" s="3"/>
      <x:c r="L11" s="3"/>
      <x:c r="M11" s="3"/>
    </x:row>
    <x:row r="12" ht="38" customHeight="1">
      <x:c r="A12" s="22" t="str">
        <x:v>Biến phí sinh hoạt CLB</x:v>
      </x:c>
      <x:c r="B12" s="38" t="n">
        <x:f>B5*'Gia_dinh'!$C$8*'Gia_dinh'!$C$10</x:f>
        <x:v>20</x:v>
      </x:c>
      <x:c r="C12" s="38" t="n">
        <x:f>C5*'Gia_dinh'!$C$8*'Gia_dinh'!$C$10</x:f>
        <x:v>32</x:v>
      </x:c>
      <x:c r="D12" s="38" t="n">
        <x:f>D5*'Gia_dinh'!$C$8*'Gia_dinh'!$C$10</x:f>
        <x:v>40</x:v>
      </x:c>
      <x:c r="E12" s="22" t="str"/>
      <x:c r="F12" s="3"/>
      <x:c r="G12" s="3"/>
      <x:c r="H12" s="3"/>
      <x:c r="I12" s="3"/>
      <x:c r="J12" s="3"/>
      <x:c r="K12" s="3"/>
      <x:c r="L12" s="3"/>
      <x:c r="M12" s="3"/>
    </x:row>
    <x:row r="13" ht="38" customHeight="1">
      <x:c r="A13" s="22" t="str">
        <x:v>Biến phí bán trú</x:v>
      </x:c>
      <x:c r="B13" s="38" t="n">
        <x:f>B6*'Gia_dinh'!$C$12*'Gia_dinh'!$C$14</x:f>
        <x:v>0</x:v>
      </x:c>
      <x:c r="C13" s="38" t="n">
        <x:f>C6*'Gia_dinh'!$C$12*'Gia_dinh'!$C$14</x:f>
        <x:v>0</x:v>
      </x:c>
      <x:c r="D13" s="38" t="n">
        <x:f>D6*'Gia_dinh'!$C$12*'Gia_dinh'!$C$14</x:f>
        <x:v>0</x:v>
      </x:c>
      <x:c r="E13" s="22" t="str"/>
      <x:c r="F13" s="3"/>
      <x:c r="G13" s="3"/>
      <x:c r="H13" s="3"/>
      <x:c r="I13" s="3"/>
      <x:c r="J13" s="3"/>
      <x:c r="K13" s="3"/>
      <x:c r="L13" s="3"/>
      <x:c r="M13" s="3"/>
    </x:row>
    <x:row r="14" ht="38" customHeight="1">
      <x:c r="A14" s="22" t="str">
        <x:v>Biến phí doanh thu bổ sung</x:v>
      </x:c>
      <x:c r="B14" s="38" t="n">
        <x:f>B7*'Gia_dinh'!$C$15</x:f>
        <x:v>4.5</x:v>
      </x:c>
      <x:c r="C14" s="38" t="n">
        <x:f>C7*'Gia_dinh'!$C$15</x:f>
        <x:v>9</x:v>
      </x:c>
      <x:c r="D14" s="38" t="n">
        <x:f>D7*'Gia_dinh'!$C$15</x:f>
        <x:v>13.5</x:v>
      </x:c>
      <x:c r="E14" s="22" t="str"/>
      <x:c r="F14" s="3"/>
      <x:c r="G14" s="3"/>
      <x:c r="H14" s="3"/>
      <x:c r="I14" s="3"/>
      <x:c r="J14" s="3"/>
      <x:c r="K14" s="3"/>
      <x:c r="L14" s="3"/>
      <x:c r="M14" s="3"/>
    </x:row>
    <x:row r="15" ht="38" customHeight="1">
      <x:c r="A15" s="22" t="str">
        <x:v>Tổng biến phí</x:v>
      </x:c>
      <x:c r="B15" s="36" t="n">
        <x:f>SUM(B12:B14)</x:f>
        <x:v>24.5</x:v>
      </x:c>
      <x:c r="C15" s="36" t="n">
        <x:f>SUM(C12:C14)</x:f>
        <x:v>41</x:v>
      </x:c>
      <x:c r="D15" s="36" t="n">
        <x:f>SUM(D12:D14)</x:f>
        <x:v>53.5</x:v>
      </x:c>
      <x:c r="E15" s="22" t="str"/>
      <x:c r="F15" s="3"/>
      <x:c r="G15" s="3"/>
      <x:c r="H15" s="3"/>
      <x:c r="I15" s="3"/>
      <x:c r="J15" s="3"/>
      <x:c r="K15" s="3"/>
      <x:c r="L15" s="3"/>
      <x:c r="M15" s="3"/>
    </x:row>
    <x:row r="16" ht="38" customHeight="1">
      <x:c r="A16" s="44" t="str">
        <x:v>Lãi đóng góp</x:v>
      </x:c>
      <x:c r="B16" s="45" t="n">
        <x:f>B11-B15</x:f>
        <x:v>145.5</x:v>
      </x:c>
      <x:c r="C16" s="45" t="n">
        <x:f>C11-C15</x:f>
        <x:v>235</x:v>
      </x:c>
      <x:c r="D16" s="45" t="n">
        <x:f>D11-D15</x:f>
        <x:v>296.5</x:v>
      </x:c>
      <x:c r="E16" s="40" t="str">
        <x:v>Doanh thu trừ biến phí; chưa trả nhân sự và mặt bằng.</x:v>
      </x:c>
      <x:c r="F16" s="3"/>
      <x:c r="G16" s="3"/>
      <x:c r="H16" s="3"/>
      <x:c r="I16" s="3"/>
      <x:c r="J16" s="3"/>
      <x:c r="K16" s="3"/>
      <x:c r="L16" s="3"/>
      <x:c r="M16" s="3"/>
    </x:row>
    <x:row r="17" ht="38" customHeight="1">
      <x:c r="A17" s="22" t="str">
        <x:v>Nhân sự</x:v>
      </x:c>
      <x:c r="B17" s="36" t="n">
        <x:f>B8</x:f>
        <x:v>95</x:v>
      </x:c>
      <x:c r="C17" s="36" t="n">
        <x:f>C8</x:f>
        <x:v>110</x:v>
      </x:c>
      <x:c r="D17" s="36" t="n">
        <x:f>D8</x:f>
        <x:v>125</x:v>
      </x:c>
      <x:c r="E17" s="22" t="str"/>
      <x:c r="F17" s="3"/>
      <x:c r="G17" s="3"/>
      <x:c r="H17" s="3"/>
      <x:c r="I17" s="3"/>
      <x:c r="J17" s="3"/>
      <x:c r="K17" s="3"/>
      <x:c r="L17" s="3"/>
      <x:c r="M17" s="3"/>
    </x:row>
    <x:row r="18" ht="38" customHeight="1">
      <x:c r="A18" s="22" t="str">
        <x:v>Thuê và phí mặt bằng</x:v>
      </x:c>
      <x:c r="B18" s="38" t="n">
        <x:f>'Gia_dinh'!$C$16</x:f>
        <x:v>60</x:v>
      </x:c>
      <x:c r="C18" s="38" t="n">
        <x:f>'Gia_dinh'!$C$16</x:f>
        <x:v>60</x:v>
      </x:c>
      <x:c r="D18" s="38" t="n">
        <x:f>'Gia_dinh'!$C$16</x:f>
        <x:v>60</x:v>
      </x:c>
      <x:c r="E18" s="22" t="str"/>
      <x:c r="F18" s="3"/>
      <x:c r="G18" s="3"/>
      <x:c r="H18" s="3"/>
      <x:c r="I18" s="3"/>
      <x:c r="J18" s="3"/>
      <x:c r="K18" s="3"/>
      <x:c r="L18" s="3"/>
      <x:c r="M18" s="3"/>
    </x:row>
    <x:row r="19" ht="38" customHeight="1">
      <x:c r="A19" s="22" t="str">
        <x:v>Cố định khác</x:v>
      </x:c>
      <x:c r="B19" s="38" t="n">
        <x:f>'Gia_dinh'!$C$21</x:f>
        <x:v>50</x:v>
      </x:c>
      <x:c r="C19" s="38" t="n">
        <x:f>'Gia_dinh'!$C$21</x:f>
        <x:v>50</x:v>
      </x:c>
      <x:c r="D19" s="38" t="n">
        <x:f>'Gia_dinh'!$C$21</x:f>
        <x:v>50</x:v>
      </x:c>
      <x:c r="E19" s="22" t="str"/>
      <x:c r="F19" s="3"/>
      <x:c r="G19" s="3"/>
      <x:c r="H19" s="3"/>
      <x:c r="I19" s="3"/>
      <x:c r="J19" s="3"/>
      <x:c r="K19" s="3"/>
      <x:c r="L19" s="3"/>
      <x:c r="M19" s="3"/>
    </x:row>
    <x:row r="20" ht="38" customHeight="1">
      <x:c r="A20" s="44" t="str">
        <x:v>Tổng chi phí cố định</x:v>
      </x:c>
      <x:c r="B20" s="45" t="n">
        <x:f>SUM(B17:B19)</x:f>
        <x:v>205</x:v>
      </x:c>
      <x:c r="C20" s="45" t="n">
        <x:f>SUM(C17:C19)</x:f>
        <x:v>220</x:v>
      </x:c>
      <x:c r="D20" s="45" t="n">
        <x:f>SUM(D17:D19)</x:f>
        <x:v>235</x:v>
      </x:c>
      <x:c r="E20" s="40" t="str"/>
      <x:c r="F20" s="3"/>
      <x:c r="G20" s="3"/>
      <x:c r="H20" s="3"/>
      <x:c r="I20" s="3"/>
      <x:c r="J20" s="3"/>
      <x:c r="K20" s="3"/>
      <x:c r="L20" s="3"/>
      <x:c r="M20" s="3"/>
    </x:row>
    <x:row r="21" ht="38" customHeight="1">
      <x:c r="A21" s="44" t="str">
        <x:v>EBITDA / tháng</x:v>
      </x:c>
      <x:c r="B21" s="45" t="n">
        <x:f>B16-B20</x:f>
        <x:v>-59.5</x:v>
      </x:c>
      <x:c r="C21" s="45" t="n">
        <x:f>C16-C20</x:f>
        <x:v>15</x:v>
      </x:c>
      <x:c r="D21" s="45" t="n">
        <x:f>D16-D20</x:f>
        <x:v>61.5</x:v>
      </x:c>
      <x:c r="E21" s="40" t="str">
        <x:v>Trước khấu hao, lãi vay và thuế. Không phải lợi nhuận ròng hay tiền phân phối.</x:v>
      </x:c>
      <x:c r="F21" s="3"/>
      <x:c r="G21" s="3"/>
      <x:c r="H21" s="3"/>
      <x:c r="I21" s="3"/>
      <x:c r="J21" s="3"/>
      <x:c r="K21" s="3"/>
      <x:c r="L21" s="3"/>
      <x:c r="M21" s="3"/>
    </x:row>
    <x:row r="22" ht="38" customHeight="1">
      <x:c r="A22" s="22" t="str">
        <x:v>Biên EBITDA</x:v>
      </x:c>
      <x:c r="B22" s="52" t="n">
        <x:f>IFERROR(B21/B11,0)</x:f>
        <x:v>-0.35</x:v>
      </x:c>
      <x:c r="C22" s="52" t="n">
        <x:f>IFERROR(C21/C11,0)</x:f>
        <x:v>0.05434782608695652</x:v>
      </x:c>
      <x:c r="D22" s="52" t="n">
        <x:f>IFERROR(D21/D11,0)</x:f>
        <x:v>0.1757142857142857</x:v>
      </x:c>
      <x:c r="E22" s="22" t="str"/>
      <x:c r="F22" s="3"/>
      <x:c r="G22" s="3"/>
      <x:c r="H22" s="3"/>
      <x:c r="I22" s="3"/>
      <x:c r="J22" s="3"/>
      <x:c r="K22" s="3"/>
      <x:c r="L22" s="3"/>
      <x:c r="M22" s="3"/>
    </x:row>
    <x:row r="23" ht="38" customHeight="1">
      <x:c r="A23" s="22" t="str">
        <x:v>Lãi đóng góp / hội viên CLB</x:v>
      </x:c>
      <x:c r="B23" s="38" t="n">
        <x:f>'Gia_dinh'!$C$7-'Gia_dinh'!$C$8*'Gia_dinh'!$C$10</x:f>
        <x:v>1.4000000000000001</x:v>
      </x:c>
      <x:c r="C23" s="38" t="n">
        <x:f>'Gia_dinh'!$C$7-'Gia_dinh'!$C$8*'Gia_dinh'!$C$10</x:f>
        <x:v>1.4000000000000001</x:v>
      </x:c>
      <x:c r="D23" s="38" t="n">
        <x:f>'Gia_dinh'!$C$7-'Gia_dinh'!$C$8*'Gia_dinh'!$C$10</x:f>
        <x:v>1.4000000000000001</x:v>
      </x:c>
      <x:c r="E23" s="22" t="str"/>
      <x:c r="F23" s="3"/>
      <x:c r="G23" s="3"/>
      <x:c r="H23" s="3"/>
      <x:c r="I23" s="3"/>
      <x:c r="J23" s="3"/>
      <x:c r="K23" s="3"/>
      <x:c r="L23" s="3"/>
      <x:c r="M23" s="3"/>
    </x:row>
    <x:row r="24" ht="38" customHeight="1">
      <x:c r="A24" s="22" t="str">
        <x:v>Lãi đóng góp / khách bán trú</x:v>
      </x:c>
      <x:c r="B24" s="38" t="n">
        <x:f>'Gia_dinh'!$C$11-'Gia_dinh'!$C$12*'Gia_dinh'!$C$14</x:f>
        <x:v>4.3</x:v>
      </x:c>
      <x:c r="C24" s="38" t="n">
        <x:f>'Gia_dinh'!$C$11-'Gia_dinh'!$C$12*'Gia_dinh'!$C$14</x:f>
        <x:v>4.3</x:v>
      </x:c>
      <x:c r="D24" s="38" t="n">
        <x:f>'Gia_dinh'!$C$11-'Gia_dinh'!$C$12*'Gia_dinh'!$C$14</x:f>
        <x:v>4.3</x:v>
      </x:c>
      <x:c r="E24" s="22" t="str"/>
      <x:c r="F24" s="3"/>
      <x:c r="G24" s="3"/>
      <x:c r="H24" s="3"/>
      <x:c r="I24" s="3"/>
      <x:c r="J24" s="3"/>
      <x:c r="K24" s="3"/>
      <x:c r="L24" s="3"/>
      <x:c r="M24" s="3"/>
    </x:row>
    <x:row r="25" ht="38" customHeight="1">
      <x:c r="A25" s="44" t="str">
        <x:v>Hội viên CLB cần để hòa vốn</x:v>
      </x:c>
      <x:c r="B25" s="60" t="n">
        <x:f>IF(B23&gt;0,ROUNDUP(MAX(0,(B20-B6*B24-B7*(1-'Gia_dinh'!$C$15))/B23),0),"Không khả thi")</x:f>
        <x:v>143</x:v>
      </x:c>
      <x:c r="C25" s="60" t="n">
        <x:f>IF(C23&gt;0,ROUNDUP(MAX(0,(C20-C6*C24-C7*(1-'Gia_dinh'!$C$15))/C23),0),"Không khả thi")</x:f>
        <x:v>150</x:v>
      </x:c>
      <x:c r="D25" s="60" t="n">
        <x:f>IF(D23&gt;0,ROUNDUP(MAX(0,(D20-D6*D24-D7*(1-'Gia_dinh'!$C$15))/D23),0),"Không khả thi")</x:f>
        <x:v>157</x:v>
      </x:c>
      <x:c r="E25" s="40" t="str">
        <x:v>Giữ nguyên số khách bán trú, doanh thu bổ sung và định biên của cột đó.</x:v>
      </x:c>
      <x:c r="F25" s="3"/>
      <x:c r="G25" s="3"/>
      <x:c r="H25" s="3"/>
      <x:c r="I25" s="3"/>
      <x:c r="J25" s="3"/>
      <x:c r="K25" s="3"/>
      <x:c r="L25" s="3"/>
      <x:c r="M25" s="3"/>
    </x:row>
    <x:row r="26" ht="38" customHeight="1">
      <x:c r="A26" s="22" t="str">
        <x:v>Lượt CLB / tháng</x:v>
      </x:c>
      <x:c r="B26" s="56" t="n">
        <x:f>B5*'Gia_dinh'!$C$8</x:f>
        <x:v>1000</x:v>
      </x:c>
      <x:c r="C26" s="56" t="n">
        <x:f>C5*'Gia_dinh'!$C$8</x:f>
        <x:v>1600</x:v>
      </x:c>
      <x:c r="D26" s="56" t="n">
        <x:f>D5*'Gia_dinh'!$C$8</x:f>
        <x:v>2000</x:v>
      </x:c>
      <x:c r="E26" s="22" t="str"/>
      <x:c r="F26" s="3"/>
      <x:c r="G26" s="3"/>
      <x:c r="H26" s="3"/>
      <x:c r="I26" s="3"/>
      <x:c r="J26" s="3"/>
      <x:c r="K26" s="3"/>
      <x:c r="L26" s="3"/>
      <x:c r="M26" s="3"/>
    </x:row>
    <x:row r="27" ht="38" customHeight="1">
      <x:c r="A27" s="22" t="str">
        <x:v>Ngày-khách bán trú / tháng</x:v>
      </x:c>
      <x:c r="B27" s="56" t="n">
        <x:f>B6*'Gia_dinh'!$C$12</x:f>
        <x:v>0</x:v>
      </x:c>
      <x:c r="C27" s="56" t="n">
        <x:f>C6*'Gia_dinh'!$C$12</x:f>
        <x:v>0</x:v>
      </x:c>
      <x:c r="D27" s="56" t="n">
        <x:f>D6*'Gia_dinh'!$C$12</x:f>
        <x:v>0</x:v>
      </x:c>
      <x:c r="E27" s="22" t="str"/>
      <x:c r="F27" s="3"/>
      <x:c r="G27" s="3"/>
      <x:c r="H27" s="3"/>
      <x:c r="I27" s="3"/>
      <x:c r="J27" s="3"/>
      <x:c r="K27" s="3"/>
      <x:c r="L27" s="3"/>
      <x:c r="M27" s="3"/>
    </x:row>
    <x:row r="28" ht="38" customHeight="1">
      <x:c r="A28" s="22" t="str">
        <x:v>Sử dụng công suất bán trú</x:v>
      </x:c>
      <x:c r="B28" s="54" t="n">
        <x:f>B27/('Gia_dinh'!$C$23*'Gia_dinh'!$C$5)</x:f>
        <x:v>0</x:v>
      </x:c>
      <x:c r="C28" s="54" t="n">
        <x:f>C27/('Gia_dinh'!$C$23*'Gia_dinh'!$C$5)</x:f>
        <x:v>0</x:v>
      </x:c>
      <x:c r="D28" s="54" t="n">
        <x:f>D27/('Gia_dinh'!$C$23*'Gia_dinh'!$C$5)</x:f>
        <x:v>0</x:v>
      </x:c>
      <x:c r="E28" s="22" t="str">
        <x:v>Không thay thế giới hạn khách ở giờ cao điểm.</x:v>
      </x:c>
      <x:c r="F28" s="3"/>
      <x:c r="G28" s="3"/>
      <x:c r="H28" s="3"/>
      <x:c r="I28" s="3"/>
      <x:c r="J28" s="3"/>
      <x:c r="K28" s="3"/>
      <x:c r="L28" s="3"/>
      <x:c r="M28" s="3"/>
    </x:row>
    <x:row r="29" ht="38" customHeight="1">
      <x:c r="A29" s="22" t="str">
        <x:v>Giờ-khách đã sử dụng</x:v>
      </x:c>
      <x:c r="B29" s="38" t="n">
        <x:f>B26*'Gia_dinh'!$C$9+B27*'Gia_dinh'!$C$13</x:f>
        <x:v>2500</x:v>
      </x:c>
      <x:c r="C29" s="38" t="n">
        <x:f>C26*'Gia_dinh'!$C$9+C27*'Gia_dinh'!$C$13</x:f>
        <x:v>4000</x:v>
      </x:c>
      <x:c r="D29" s="38" t="n">
        <x:f>D26*'Gia_dinh'!$C$9+D27*'Gia_dinh'!$C$13</x:f>
        <x:v>5000</x:v>
      </x:c>
      <x:c r="E29" s="22" t="str"/>
      <x:c r="F29" s="3"/>
      <x:c r="G29" s="3"/>
      <x:c r="H29" s="3"/>
      <x:c r="I29" s="3"/>
      <x:c r="J29" s="3"/>
      <x:c r="K29" s="3"/>
      <x:c r="L29" s="3"/>
      <x:c r="M29" s="3"/>
    </x:row>
    <x:row r="30" ht="38" customHeight="1">
      <x:c r="A30" s="22" t="str">
        <x:v>Công suất giờ-khách giả định</x:v>
      </x:c>
      <x:c r="B30" s="38" t="n">
        <x:f>'Gia_dinh'!$C$5*'Gia_dinh'!$C$6*'Gia_dinh'!$C$22</x:f>
        <x:v>10400</x:v>
      </x:c>
      <x:c r="C30" s="38" t="n">
        <x:f>'Gia_dinh'!$C$5*'Gia_dinh'!$C$6*'Gia_dinh'!$C$22</x:f>
        <x:v>10400</x:v>
      </x:c>
      <x:c r="D30" s="38" t="n">
        <x:f>'Gia_dinh'!$C$5*'Gia_dinh'!$C$6*'Gia_dinh'!$C$22</x:f>
        <x:v>10400</x:v>
      </x:c>
      <x:c r="E30" s="22" t="str">
        <x:v>Trần mô phỏng, không phải sức chứa được chứng nhận.</x:v>
      </x:c>
      <x:c r="F30" s="3"/>
      <x:c r="G30" s="3"/>
      <x:c r="H30" s="3"/>
      <x:c r="I30" s="3"/>
      <x:c r="J30" s="3"/>
      <x:c r="K30" s="3"/>
      <x:c r="L30" s="3"/>
      <x:c r="M30" s="3"/>
    </x:row>
    <x:row r="31" ht="38" customHeight="1">
      <x:c r="A31" s="22" t="str">
        <x:v>Sử dụng công suất giờ-khách</x:v>
      </x:c>
      <x:c r="B31" s="52" t="n">
        <x:f>B29/B30</x:f>
        <x:v>0.2403846153846154</x:v>
      </x:c>
      <x:c r="C31" s="52" t="n">
        <x:f>C29/C30</x:f>
        <x:v>0.38461538461538464</x:v>
      </x:c>
      <x:c r="D31" s="52" t="n">
        <x:f>D29/D30</x:f>
        <x:v>0.4807692307692308</x:v>
      </x:c>
      <x:c r="E31" s="22" t="str"/>
      <x:c r="F31" s="3"/>
      <x:c r="G31" s="3"/>
      <x:c r="H31" s="3"/>
      <x:c r="I31" s="3"/>
      <x:c r="J31" s="3"/>
      <x:c r="K31" s="3"/>
      <x:c r="L31" s="3"/>
      <x:c r="M31" s="3"/>
    </x:row>
    <x:row r="32" ht="38" customHeight="1">
      <x:c r="A32" s="22" t="str">
        <x:v>Khách hiện diện bình quân</x:v>
      </x:c>
      <x:c r="B32" s="38" t="n">
        <x:f>B29/('Gia_dinh'!$C$5*'Gia_dinh'!$C$6)</x:f>
        <x:v>12.01923076923077</x:v>
      </x:c>
      <x:c r="C32" s="38" t="n">
        <x:f>C29/('Gia_dinh'!$C$5*'Gia_dinh'!$C$6)</x:f>
        <x:v>19.23076923076923</x:v>
      </x:c>
      <x:c r="D32" s="38" t="n">
        <x:f>D29/('Gia_dinh'!$C$5*'Gia_dinh'!$C$6)</x:f>
        <x:v>24.03846153846154</x:v>
      </x:c>
      <x:c r="E32" s="22" t="str">
        <x:v>Bình quân che khuất giờ cao điểm; cần đặt lịch theo từng khung.</x:v>
      </x:c>
      <x:c r="F32" s="3"/>
      <x:c r="G32" s="3"/>
      <x:c r="H32" s="3"/>
      <x:c r="I32" s="3"/>
      <x:c r="J32" s="3"/>
      <x:c r="K32" s="3"/>
      <x:c r="L32" s="3"/>
      <x:c r="M32" s="3"/>
    </x:row>
    <x:row r="33" ht="23" customHeight="1">
      <x:c r="A33" s="3"/>
      <x:c r="B33" s="3"/>
      <x:c r="C33" s="3"/>
      <x:c r="D33" s="3"/>
      <x:c r="E33" s="3"/>
      <x:c r="F33" s="3"/>
      <x:c r="G33" s="3"/>
      <x:c r="H33" s="3"/>
      <x:c r="I33" s="3"/>
      <x:c r="J33" s="3"/>
      <x:c r="K33" s="3"/>
      <x:c r="L33" s="3"/>
      <x:c r="M33" s="3"/>
    </x:row>
    <x:row r="34" ht="23" customHeight="1">
      <x:c r="A34" s="3"/>
      <x:c r="B34" s="3"/>
      <x:c r="C34" s="3"/>
      <x:c r="D34" s="3"/>
      <x:c r="E34" s="3"/>
      <x:c r="F34" s="3"/>
      <x:c r="G34" s="3"/>
      <x:c r="H34" s="3"/>
      <x:c r="I34" s="3"/>
      <x:c r="J34" s="3"/>
      <x:c r="K34" s="3"/>
      <x:c r="L34" s="3"/>
      <x:c r="M34" s="3"/>
    </x:row>
    <x:row r="35" ht="25" customHeight="1">
      <x:c r="A35" s="62" t="str">
        <x:v>Công suất chỉ là giả định để tính. Không suy ra khả năng tiếp nhận 50 khách hoặc 20 khách bán trú từ diện tích 500 m². Cần phê duyệt công năng, thiết kế tiếp cận, PCCC, sơ tán và định biên phù hợp.</x:v>
      </x:c>
      <x:c r="B35" s="62"/>
      <x:c r="C35" s="62"/>
      <x:c r="D35" s="62"/>
      <x:c r="E35" s="62"/>
      <x:c r="F35" s="3"/>
      <x:c r="G35" s="3"/>
      <x:c r="H35" s="3"/>
      <x:c r="I35" s="3"/>
      <x:c r="J35" s="3"/>
      <x:c r="K35" s="3"/>
      <x:c r="L35" s="3"/>
      <x:c r="M35" s="3"/>
    </x:row>
    <x:row r="36" ht="25" customHeight="1">
      <x:c r="A36" s="62"/>
      <x:c r="B36" s="62"/>
      <x:c r="C36" s="62"/>
      <x:c r="D36" s="62"/>
      <x:c r="E36" s="62"/>
      <x:c r="F36" s="3"/>
      <x:c r="G36" s="3"/>
      <x:c r="H36" s="3"/>
      <x:c r="I36" s="3"/>
      <x:c r="J36" s="3"/>
      <x:c r="K36" s="3"/>
      <x:c r="L36" s="3"/>
      <x:c r="M36" s="3"/>
    </x:row>
    <x:row r="37" ht="25" customHeight="1">
      <x:c r="A37" s="62"/>
      <x:c r="B37" s="62"/>
      <x:c r="C37" s="62"/>
      <x:c r="D37" s="62"/>
      <x:c r="E37" s="62"/>
      <x:c r="F37" s="3"/>
      <x:c r="G37" s="3"/>
      <x:c r="H37" s="3"/>
      <x:c r="I37" s="3"/>
      <x:c r="J37" s="3"/>
      <x:c r="K37" s="3"/>
      <x:c r="L37" s="3"/>
      <x:c r="M37" s="3"/>
    </x:row>
    <x:row r="38" ht="23" customHeight="1">
      <x:c r="A38" s="3"/>
      <x:c r="B38" s="3"/>
      <x:c r="C38" s="3"/>
      <x:c r="D38" s="3"/>
      <x:c r="E38" s="3"/>
      <x:c r="F38" s="3"/>
      <x:c r="G38" s="3"/>
      <x:c r="H38" s="3"/>
      <x:c r="I38" s="3"/>
      <x:c r="J38" s="3"/>
      <x:c r="K38" s="3"/>
      <x:c r="L38" s="3"/>
      <x:c r="M38" s="3"/>
    </x:row>
    <x:row r="39" ht="23" customHeight="1">
      <x:c r="A39" s="3"/>
      <x:c r="B39" s="3"/>
      <x:c r="C39" s="3"/>
      <x:c r="D39" s="3"/>
      <x:c r="E39" s="3"/>
      <x:c r="F39" s="3"/>
      <x:c r="G39" s="3"/>
      <x:c r="H39" s="3"/>
      <x:c r="I39" s="3"/>
      <x:c r="J39" s="3"/>
      <x:c r="K39" s="3"/>
      <x:c r="L39" s="3"/>
      <x:c r="M39" s="3"/>
    </x:row>
    <x:row r="40" ht="23" customHeight="1">
      <x:c r="A40" s="3"/>
      <x:c r="B40" s="3"/>
      <x:c r="C40" s="3"/>
      <x:c r="D40" s="3"/>
      <x:c r="E40" s="3"/>
      <x:c r="F40" s="3"/>
      <x:c r="G40" s="3"/>
      <x:c r="H40" s="3"/>
      <x:c r="I40" s="3"/>
      <x:c r="J40" s="3"/>
      <x:c r="K40" s="3"/>
      <x:c r="L40" s="3"/>
      <x:c r="M40" s="3"/>
    </x:row>
    <x:row r="41" ht="23" customHeight="1">
      <x:c r="A41" s="3"/>
      <x:c r="B41" s="3"/>
      <x:c r="C41" s="3"/>
      <x:c r="D41" s="3"/>
      <x:c r="E41" s="3"/>
      <x:c r="F41" s="3"/>
      <x:c r="G41" s="3"/>
      <x:c r="H41" s="3"/>
      <x:c r="I41" s="3"/>
      <x:c r="J41" s="3"/>
      <x:c r="K41" s="3"/>
      <x:c r="L41" s="3"/>
      <x:c r="M41" s="3"/>
    </x:row>
    <x:row r="42" ht="23" customHeight="1">
      <x:c r="A42" s="3"/>
      <x:c r="B42" s="3"/>
      <x:c r="C42" s="3"/>
      <x:c r="D42" s="3"/>
      <x:c r="E42" s="3"/>
      <x:c r="F42" s="3"/>
      <x:c r="G42" s="3"/>
      <x:c r="H42" s="3"/>
      <x:c r="I42" s="3"/>
      <x:c r="J42" s="3"/>
      <x:c r="K42" s="3"/>
      <x:c r="L42" s="3"/>
      <x:c r="M42" s="3"/>
    </x:row>
    <x:row r="43" ht="23" customHeight="1">
      <x:c r="A43" s="3"/>
      <x:c r="B43" s="3"/>
      <x:c r="C43" s="3"/>
      <x:c r="D43" s="3"/>
      <x:c r="E43" s="3"/>
      <x:c r="F43" s="3"/>
      <x:c r="G43" s="3"/>
      <x:c r="H43" s="3"/>
      <x:c r="I43" s="3"/>
      <x:c r="J43" s="3"/>
      <x:c r="K43" s="3"/>
      <x:c r="L43" s="3"/>
      <x:c r="M43" s="3"/>
    </x:row>
    <x:row r="44" ht="23" customHeight="1">
      <x:c r="A44" s="3"/>
      <x:c r="B44" s="3"/>
      <x:c r="C44" s="3"/>
      <x:c r="D44" s="3"/>
      <x:c r="E44" s="3"/>
      <x:c r="F44" s="3"/>
      <x:c r="G44" s="3"/>
      <x:c r="H44" s="3"/>
      <x:c r="I44" s="3"/>
      <x:c r="J44" s="3"/>
      <x:c r="K44" s="3"/>
      <x:c r="L44" s="3"/>
      <x:c r="M44" s="3"/>
    </x:row>
    <x:row r="45" ht="23" customHeight="1">
      <x:c r="A45" s="3"/>
      <x:c r="B45" s="3"/>
      <x:c r="C45" s="3"/>
      <x:c r="D45" s="3"/>
      <x:c r="E45" s="3"/>
      <x:c r="F45" s="3"/>
      <x:c r="G45" s="3"/>
      <x:c r="H45" s="3"/>
      <x:c r="I45" s="3"/>
      <x:c r="J45" s="3"/>
      <x:c r="K45" s="3"/>
      <x:c r="L45" s="3"/>
      <x:c r="M45" s="3"/>
    </x:row>
    <x:row r="46" ht="23" customHeight="1">
      <x:c r="A46" s="3"/>
      <x:c r="B46" s="3"/>
      <x:c r="C46" s="3"/>
      <x:c r="D46" s="3"/>
      <x:c r="E46" s="3"/>
      <x:c r="F46" s="3"/>
      <x:c r="G46" s="3"/>
      <x:c r="H46" s="3"/>
      <x:c r="I46" s="3"/>
      <x:c r="J46" s="3"/>
      <x:c r="K46" s="3"/>
      <x:c r="L46" s="3"/>
      <x:c r="M46" s="3"/>
    </x:row>
    <x:row r="47" ht="23" customHeight="1">
      <x:c r="A47" s="3"/>
      <x:c r="B47" s="3"/>
      <x:c r="C47" s="3"/>
      <x:c r="D47" s="3"/>
      <x:c r="E47" s="3"/>
      <x:c r="F47" s="3"/>
      <x:c r="G47" s="3"/>
      <x:c r="H47" s="3"/>
      <x:c r="I47" s="3"/>
      <x:c r="J47" s="3"/>
      <x:c r="K47" s="3"/>
      <x:c r="L47" s="3"/>
      <x:c r="M47" s="3"/>
    </x:row>
    <x:row r="48" ht="23" customHeight="1">
      <x:c r="A48" s="3"/>
      <x:c r="B48" s="3"/>
      <x:c r="C48" s="3"/>
      <x:c r="D48" s="3"/>
      <x:c r="E48" s="3"/>
      <x:c r="F48" s="3"/>
      <x:c r="G48" s="3"/>
      <x:c r="H48" s="3"/>
      <x:c r="I48" s="3"/>
      <x:c r="J48" s="3"/>
      <x:c r="K48" s="3"/>
      <x:c r="L48" s="3"/>
      <x:c r="M48" s="3"/>
    </x:row>
    <x:row r="49" ht="23" customHeight="1">
      <x:c r="A49" s="3"/>
      <x:c r="B49" s="3"/>
      <x:c r="C49" s="3"/>
      <x:c r="D49" s="3"/>
      <x:c r="E49" s="3"/>
      <x:c r="F49" s="3"/>
      <x:c r="G49" s="3"/>
      <x:c r="H49" s="3"/>
      <x:c r="I49" s="3"/>
      <x:c r="J49" s="3"/>
      <x:c r="K49" s="3"/>
      <x:c r="L49" s="3"/>
      <x:c r="M49" s="3"/>
    </x:row>
    <x:row r="50" ht="23" customHeight="1">
      <x:c r="A50" s="3"/>
      <x:c r="B50" s="3"/>
      <x:c r="C50" s="3"/>
      <x:c r="D50" s="3"/>
      <x:c r="E50" s="3"/>
      <x:c r="F50" s="3"/>
      <x:c r="G50" s="3"/>
      <x:c r="H50" s="3"/>
      <x:c r="I50" s="3"/>
      <x:c r="J50" s="3"/>
      <x:c r="K50" s="3"/>
      <x:c r="L50" s="3"/>
      <x:c r="M50" s="3"/>
    </x:row>
    <x:row r="51" ht="23" customHeight="1">
      <x:c r="A51" s="3"/>
      <x:c r="B51" s="3"/>
      <x:c r="C51" s="3"/>
      <x:c r="D51" s="3"/>
      <x:c r="E51" s="3"/>
      <x:c r="F51" s="3"/>
      <x:c r="G51" s="3"/>
      <x:c r="H51" s="3"/>
      <x:c r="I51" s="3"/>
      <x:c r="J51" s="3"/>
      <x:c r="K51" s="3"/>
      <x:c r="L51" s="3"/>
      <x:c r="M51" s="3"/>
    </x:row>
    <x:row r="52" ht="23" customHeight="1">
      <x:c r="A52" s="3"/>
      <x:c r="B52" s="3"/>
      <x:c r="C52" s="3"/>
      <x:c r="D52" s="3"/>
      <x:c r="E52" s="3"/>
      <x:c r="F52" s="3"/>
      <x:c r="G52" s="3"/>
      <x:c r="H52" s="3"/>
      <x:c r="I52" s="3"/>
      <x:c r="J52" s="3"/>
      <x:c r="K52" s="3"/>
      <x:c r="L52" s="3"/>
      <x:c r="M52" s="3"/>
    </x:row>
    <x:row r="53" ht="23" customHeight="1">
      <x:c r="A53" s="3"/>
      <x:c r="B53" s="3"/>
      <x:c r="C53" s="3"/>
      <x:c r="D53" s="3"/>
      <x:c r="E53" s="3"/>
      <x:c r="F53" s="3"/>
      <x:c r="G53" s="3"/>
      <x:c r="H53" s="3"/>
      <x:c r="I53" s="3"/>
      <x:c r="J53" s="3"/>
      <x:c r="K53" s="3"/>
      <x:c r="L53" s="3"/>
      <x:c r="M53" s="3"/>
    </x:row>
    <x:row r="54" ht="23" customHeight="1">
      <x:c r="A54" s="3"/>
      <x:c r="B54" s="3"/>
      <x:c r="C54" s="3"/>
      <x:c r="D54" s="3"/>
      <x:c r="E54" s="3"/>
      <x:c r="F54" s="3"/>
      <x:c r="G54" s="3"/>
      <x:c r="H54" s="3"/>
      <x:c r="I54" s="3"/>
      <x:c r="J54" s="3"/>
      <x:c r="K54" s="3"/>
      <x:c r="L54" s="3"/>
      <x:c r="M54" s="3"/>
    </x:row>
    <x:row r="55" ht="23" customHeight="1">
      <x:c r="A55" s="3"/>
      <x:c r="B55" s="3"/>
      <x:c r="C55" s="3"/>
      <x:c r="D55" s="3"/>
      <x:c r="E55" s="3"/>
      <x:c r="F55" s="3"/>
      <x:c r="G55" s="3"/>
      <x:c r="H55" s="3"/>
      <x:c r="I55" s="3"/>
      <x:c r="J55" s="3"/>
      <x:c r="K55" s="3"/>
      <x:c r="L55" s="3"/>
      <x:c r="M55" s="3"/>
    </x:row>
    <x:row r="56" ht="23" customHeight="1">
      <x:c r="A56" s="3"/>
      <x:c r="B56" s="3"/>
      <x:c r="C56" s="3"/>
      <x:c r="D56" s="3"/>
      <x:c r="E56" s="3"/>
      <x:c r="F56" s="3"/>
      <x:c r="G56" s="3"/>
      <x:c r="H56" s="3"/>
      <x:c r="I56" s="3"/>
      <x:c r="J56" s="3"/>
      <x:c r="K56" s="3"/>
      <x:c r="L56" s="3"/>
      <x:c r="M56" s="3"/>
    </x:row>
    <x:row r="57" ht="23" customHeight="1">
      <x:c r="A57" s="3"/>
      <x:c r="B57" s="3"/>
      <x:c r="C57" s="3"/>
      <x:c r="D57" s="3"/>
      <x:c r="E57" s="3"/>
      <x:c r="F57" s="3"/>
      <x:c r="G57" s="3"/>
      <x:c r="H57" s="3"/>
      <x:c r="I57" s="3"/>
      <x:c r="J57" s="3"/>
      <x:c r="K57" s="3"/>
      <x:c r="L57" s="3"/>
      <x:c r="M57" s="3"/>
    </x:row>
    <x:row r="58" ht="23" customHeight="1">
      <x:c r="A58" s="3"/>
      <x:c r="B58" s="3"/>
      <x:c r="C58" s="3"/>
      <x:c r="D58" s="3"/>
      <x:c r="E58" s="3"/>
      <x:c r="F58" s="3"/>
      <x:c r="G58" s="3"/>
      <x:c r="H58" s="3"/>
      <x:c r="I58" s="3"/>
      <x:c r="J58" s="3"/>
      <x:c r="K58" s="3"/>
      <x:c r="L58" s="3"/>
      <x:c r="M58" s="3"/>
    </x:row>
    <x:row r="59" ht="23" customHeight="1">
      <x:c r="A59" s="3"/>
      <x:c r="B59" s="3"/>
      <x:c r="C59" s="3"/>
      <x:c r="D59" s="3"/>
      <x:c r="E59" s="3"/>
      <x:c r="F59" s="3"/>
      <x:c r="G59" s="3"/>
      <x:c r="H59" s="3"/>
      <x:c r="I59" s="3"/>
      <x:c r="J59" s="3"/>
      <x:c r="K59" s="3"/>
      <x:c r="L59" s="3"/>
      <x:c r="M59" s="3"/>
    </x:row>
    <x:row r="60" ht="23" customHeight="1">
      <x:c r="A60" s="3"/>
      <x:c r="B60" s="3"/>
      <x:c r="C60" s="3"/>
      <x:c r="D60" s="3"/>
      <x:c r="E60" s="3"/>
      <x:c r="F60" s="3"/>
      <x:c r="G60" s="3"/>
      <x:c r="H60" s="3"/>
      <x:c r="I60" s="3"/>
      <x:c r="J60" s="3"/>
      <x:c r="K60" s="3"/>
      <x:c r="L60" s="3"/>
      <x:c r="M60" s="3"/>
    </x:row>
    <x:row r="61" ht="23" customHeight="1">
      <x:c r="A61" s="3"/>
      <x:c r="B61" s="3"/>
      <x:c r="C61" s="3"/>
      <x:c r="D61" s="3"/>
      <x:c r="E61" s="3"/>
      <x:c r="F61" s="3"/>
      <x:c r="G61" s="3"/>
      <x:c r="H61" s="3"/>
      <x:c r="I61" s="3"/>
      <x:c r="J61" s="3"/>
      <x:c r="K61" s="3"/>
      <x:c r="L61" s="3"/>
      <x:c r="M61" s="3"/>
    </x:row>
    <x:row r="62" ht="23" customHeight="1">
      <x:c r="A62" s="3"/>
      <x:c r="B62" s="3"/>
      <x:c r="C62" s="3"/>
      <x:c r="D62" s="3"/>
      <x:c r="E62" s="3"/>
      <x:c r="F62" s="3"/>
      <x:c r="G62" s="3"/>
      <x:c r="H62" s="3"/>
      <x:c r="I62" s="3"/>
      <x:c r="J62" s="3"/>
      <x:c r="K62" s="3"/>
      <x:c r="L62" s="3"/>
      <x:c r="M62" s="3"/>
    </x:row>
    <x:row r="63" ht="23" customHeight="1">
      <x:c r="A63" s="3"/>
      <x:c r="B63" s="3"/>
      <x:c r="C63" s="3"/>
      <x:c r="D63" s="3"/>
      <x:c r="E63" s="3"/>
      <x:c r="F63" s="3"/>
      <x:c r="G63" s="3"/>
      <x:c r="H63" s="3"/>
      <x:c r="I63" s="3"/>
      <x:c r="J63" s="3"/>
      <x:c r="K63" s="3"/>
      <x:c r="L63" s="3"/>
      <x:c r="M63" s="3"/>
    </x:row>
    <x:row r="64" ht="23" customHeight="1">
      <x:c r="A64" s="3"/>
      <x:c r="B64" s="3"/>
      <x:c r="C64" s="3"/>
      <x:c r="D64" s="3"/>
      <x:c r="E64" s="3"/>
      <x:c r="F64" s="3"/>
      <x:c r="G64" s="3"/>
      <x:c r="H64" s="3"/>
      <x:c r="I64" s="3"/>
      <x:c r="J64" s="3"/>
      <x:c r="K64" s="3"/>
      <x:c r="L64" s="3"/>
      <x:c r="M64" s="3"/>
    </x:row>
    <x:row r="65" ht="23" customHeight="1">
      <x:c r="A65" s="3"/>
      <x:c r="B65" s="3"/>
      <x:c r="C65" s="3"/>
      <x:c r="D65" s="3"/>
      <x:c r="E65" s="3"/>
      <x:c r="F65" s="3"/>
      <x:c r="G65" s="3"/>
      <x:c r="H65" s="3"/>
      <x:c r="I65" s="3"/>
      <x:c r="J65" s="3"/>
      <x:c r="K65" s="3"/>
      <x:c r="L65" s="3"/>
      <x:c r="M65" s="3"/>
    </x:row>
  </x:sheetData>
  <x:mergeCells>
    <x:mergeCell ref="A1:E2"/>
    <x:mergeCell ref="A3:E3"/>
    <x:mergeCell ref="A35:E37"/>
  </x:mergeCells>
  <x:conditionalFormatting sqref="B21:D21">
    <x:cfRule type="cellIs" dxfId="0" priority="1" operator="lessThan">
      <x:formula>0</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39" hidden="0" customWidth="1"/>
    <x:col min="2" max="2" width="17" hidden="0" customWidth="1"/>
    <x:col min="3" max="3" width="17" hidden="0" customWidth="1"/>
    <x:col min="4" max="4" width="17" hidden="0" customWidth="1"/>
    <x:col min="5" max="5" width="40" hidden="0" customWidth="1"/>
  </x:cols>
  <x:sheetData>
    <x:row r="1" ht="23" customHeight="1">
      <x:c r="A1" s="8" t="str">
        <x:v>B. CLB + BÁN TRÚ CÓ ĐIỀU KIỆN</x:v>
      </x:c>
      <x:c r="B1" s="8"/>
      <x:c r="C1" s="8"/>
      <x:c r="D1" s="8"/>
      <x:c r="E1" s="8"/>
      <x:c r="F1" s="3"/>
      <x:c r="G1" s="3"/>
      <x:c r="H1" s="3"/>
      <x:c r="I1" s="3"/>
      <x:c r="J1" s="3"/>
      <x:c r="K1" s="3"/>
      <x:c r="L1" s="3"/>
      <x:c r="M1" s="3"/>
    </x:row>
    <x:row r="2" ht="23" customHeight="1">
      <x:c r="A2" s="8"/>
      <x:c r="B2" s="8"/>
      <x:c r="C2" s="8"/>
      <x:c r="D2" s="8"/>
      <x:c r="E2" s="8"/>
      <x:c r="F2" s="3"/>
      <x:c r="G2" s="3"/>
      <x:c r="H2" s="3"/>
      <x:c r="I2" s="3"/>
      <x:c r="J2" s="3"/>
      <x:c r="K2" s="3"/>
      <x:c r="L2" s="3"/>
      <x:c r="M2" s="3"/>
    </x:row>
    <x:row r="3" ht="32" customHeight="1">
      <x:c r="A3" s="13" t="str">
        <x:v>Triệu đồng / tháng | Phương án B: CHỈ LÀ MÔ PHỎNG, chưa xác minh khả năng triển khai tại tầng 5</x:v>
      </x:c>
      <x:c r="B3" s="13"/>
      <x:c r="C3" s="13"/>
      <x:c r="D3" s="13"/>
      <x:c r="E3" s="13"/>
      <x:c r="F3" s="3"/>
      <x:c r="G3" s="3"/>
      <x:c r="H3" s="3"/>
      <x:c r="I3" s="3"/>
      <x:c r="J3" s="3"/>
      <x:c r="K3" s="3"/>
      <x:c r="L3" s="3"/>
      <x:c r="M3" s="3"/>
    </x:row>
    <x:row r="4" ht="30" customHeight="1">
      <x:c r="A4" s="18" t="str">
        <x:v>Chỉ tiêu</x:v>
      </x:c>
      <x:c r="B4" s="18" t="str">
        <x:v>Thấp</x:v>
      </x:c>
      <x:c r="C4" s="18" t="str">
        <x:v>Cơ sở</x:v>
      </x:c>
      <x:c r="D4" s="18" t="str">
        <x:v>Tốt</x:v>
      </x:c>
      <x:c r="E4" s="18" t="str">
        <x:v>Cách đọc</x:v>
      </x:c>
      <x:c r="F4" s="3"/>
      <x:c r="G4" s="3"/>
      <x:c r="H4" s="3"/>
      <x:c r="I4" s="3"/>
      <x:c r="J4" s="3"/>
      <x:c r="K4" s="3"/>
      <x:c r="L4" s="3"/>
      <x:c r="M4" s="3"/>
    </x:row>
    <x:row r="5" ht="38" customHeight="1">
      <x:c r="A5" s="22" t="str">
        <x:v>Hội viên CLB riêng</x:v>
      </x:c>
      <x:c r="B5" s="56" t="n">
        <x:f>'Gia_dinh'!B39</x:f>
        <x:v>80</x:v>
      </x:c>
      <x:c r="C5" s="56" t="n">
        <x:f>'Gia_dinh'!C39</x:f>
        <x:v>120</x:v>
      </x:c>
      <x:c r="D5" s="56" t="n">
        <x:f>'Gia_dinh'!D39</x:f>
        <x:v>160</x:v>
      </x:c>
      <x:c r="E5" s="22" t="str">
        <x:v>Nhóm CLB không trùng nhóm mua bán trú.</x:v>
      </x:c>
      <x:c r="F5" s="3"/>
      <x:c r="G5" s="3"/>
      <x:c r="H5" s="3"/>
      <x:c r="I5" s="3"/>
      <x:c r="J5" s="3"/>
      <x:c r="K5" s="3"/>
      <x:c r="L5" s="3"/>
      <x:c r="M5" s="3"/>
    </x:row>
    <x:row r="6" ht="38" customHeight="1">
      <x:c r="A6" s="22" t="str">
        <x:v>Khách mua bán trú</x:v>
      </x:c>
      <x:c r="B6" s="56" t="n">
        <x:f>'Gia_dinh'!B40</x:f>
        <x:v>12</x:v>
      </x:c>
      <x:c r="C6" s="56" t="n">
        <x:f>'Gia_dinh'!C40</x:f>
        <x:v>24</x:v>
      </x:c>
      <x:c r="D6" s="56" t="n">
        <x:f>'Gia_dinh'!D40</x:f>
        <x:v>28</x:v>
      </x:c>
      <x:c r="E6" s="22" t="str">
        <x:v>Chỉ áp dụng ở kịch bản có điều kiện.</x:v>
      </x:c>
      <x:c r="F6" s="3"/>
      <x:c r="G6" s="3"/>
      <x:c r="H6" s="3"/>
      <x:c r="I6" s="3"/>
      <x:c r="J6" s="3"/>
      <x:c r="K6" s="3"/>
      <x:c r="L6" s="3"/>
      <x:c r="M6" s="3"/>
    </x:row>
    <x:row r="7" ht="38" customHeight="1">
      <x:c r="A7" s="22" t="str">
        <x:v>Doanh thu bổ sung</x:v>
      </x:c>
      <x:c r="B7" s="38" t="n">
        <x:f>'Gia_dinh'!B41</x:f>
        <x:v>10</x:v>
      </x:c>
      <x:c r="C7" s="38" t="n">
        <x:f>'Gia_dinh'!C41</x:f>
        <x:v>20</x:v>
      </x:c>
      <x:c r="D7" s="38" t="n">
        <x:f>'Gia_dinh'!D41</x:f>
        <x:v>30</x:v>
      </x:c>
      <x:c r="E7" s="22" t="str">
        <x:v>Chưa kiểm chứng đầu ra; không có hoa hồng y tế.</x:v>
      </x:c>
      <x:c r="F7" s="3"/>
      <x:c r="G7" s="3"/>
      <x:c r="H7" s="3"/>
      <x:c r="I7" s="3"/>
      <x:c r="J7" s="3"/>
      <x:c r="K7" s="3"/>
      <x:c r="L7" s="3"/>
      <x:c r="M7" s="3"/>
    </x:row>
    <x:row r="8" ht="38" customHeight="1">
      <x:c r="A8" s="22" t="str">
        <x:v>Quỹ nhân sự</x:v>
      </x:c>
      <x:c r="B8" s="38" t="n">
        <x:f>'Gia_dinh'!B42</x:f>
        <x:v>130</x:v>
      </x:c>
      <x:c r="C8" s="38" t="n">
        <x:f>'Gia_dinh'!C42</x:f>
        <x:v>150</x:v>
      </x:c>
      <x:c r="D8" s="38" t="n">
        <x:f>'Gia_dinh'!D42</x:f>
        <x:v>165</x:v>
      </x:c>
      <x:c r="E8" s="22" t="str">
        <x:v>Đã gồm nhân sự hợp đồng và chi phí sử dụng lao động.</x:v>
      </x:c>
      <x:c r="F8" s="3"/>
      <x:c r="G8" s="3"/>
      <x:c r="H8" s="3"/>
      <x:c r="I8" s="3"/>
      <x:c r="J8" s="3"/>
      <x:c r="K8" s="3"/>
      <x:c r="L8" s="3"/>
      <x:c r="M8" s="3"/>
    </x:row>
    <x:row r="9" ht="38" customHeight="1">
      <x:c r="A9" s="22" t="str">
        <x:v>Doanh thu hội viên CLB</x:v>
      </x:c>
      <x:c r="B9" s="38" t="n">
        <x:f>B5*'Gia_dinh'!$C$7</x:f>
        <x:v>128</x:v>
      </x:c>
      <x:c r="C9" s="38" t="n">
        <x:f>C5*'Gia_dinh'!$C$7</x:f>
        <x:v>192</x:v>
      </x:c>
      <x:c r="D9" s="38" t="n">
        <x:f>D5*'Gia_dinh'!$C$7</x:f>
        <x:v>256</x:v>
      </x:c>
      <x:c r="E9" s="22" t="str"/>
      <x:c r="F9" s="3"/>
      <x:c r="G9" s="3"/>
      <x:c r="H9" s="3"/>
      <x:c r="I9" s="3"/>
      <x:c r="J9" s="3"/>
      <x:c r="K9" s="3"/>
      <x:c r="L9" s="3"/>
      <x:c r="M9" s="3"/>
    </x:row>
    <x:row r="10" ht="38" customHeight="1">
      <x:c r="A10" s="22" t="str">
        <x:v>Doanh thu bán trú</x:v>
      </x:c>
      <x:c r="B10" s="38" t="n">
        <x:f>B6*'Gia_dinh'!$C$11</x:f>
        <x:v>66</x:v>
      </x:c>
      <x:c r="C10" s="38" t="n">
        <x:f>C6*'Gia_dinh'!$C$11</x:f>
        <x:v>132</x:v>
      </x:c>
      <x:c r="D10" s="38" t="n">
        <x:f>D6*'Gia_dinh'!$C$11</x:f>
        <x:v>154</x:v>
      </x:c>
      <x:c r="E10" s="22" t="str"/>
      <x:c r="F10" s="3"/>
      <x:c r="G10" s="3"/>
      <x:c r="H10" s="3"/>
      <x:c r="I10" s="3"/>
      <x:c r="J10" s="3"/>
      <x:c r="K10" s="3"/>
      <x:c r="L10" s="3"/>
      <x:c r="M10" s="3"/>
    </x:row>
    <x:row r="11" ht="38" customHeight="1">
      <x:c r="A11" s="44" t="str">
        <x:v>Tổng doanh thu</x:v>
      </x:c>
      <x:c r="B11" s="45" t="n">
        <x:f>SUM(B9:B10)+B7</x:f>
        <x:v>204</x:v>
      </x:c>
      <x:c r="C11" s="45" t="n">
        <x:f>SUM(C9:C10)+C7</x:f>
        <x:v>344</x:v>
      </x:c>
      <x:c r="D11" s="45" t="n">
        <x:f>SUM(D9:D10)+D7</x:f>
        <x:v>440</x:v>
      </x:c>
      <x:c r="E11" s="40" t="str">
        <x:v>Giá doanh thu thuần giả định; phải xác định VAT trước khi niêm yết.</x:v>
      </x:c>
      <x:c r="F11" s="3"/>
      <x:c r="G11" s="3"/>
      <x:c r="H11" s="3"/>
      <x:c r="I11" s="3"/>
      <x:c r="J11" s="3"/>
      <x:c r="K11" s="3"/>
      <x:c r="L11" s="3"/>
      <x:c r="M11" s="3"/>
    </x:row>
    <x:row r="12" ht="38" customHeight="1">
      <x:c r="A12" s="22" t="str">
        <x:v>Biến phí sinh hoạt CLB</x:v>
      </x:c>
      <x:c r="B12" s="38" t="n">
        <x:f>B5*'Gia_dinh'!$C$8*'Gia_dinh'!$C$10</x:f>
        <x:v>16</x:v>
      </x:c>
      <x:c r="C12" s="38" t="n">
        <x:f>C5*'Gia_dinh'!$C$8*'Gia_dinh'!$C$10</x:f>
        <x:v>24</x:v>
      </x:c>
      <x:c r="D12" s="38" t="n">
        <x:f>D5*'Gia_dinh'!$C$8*'Gia_dinh'!$C$10</x:f>
        <x:v>32</x:v>
      </x:c>
      <x:c r="E12" s="22" t="str"/>
      <x:c r="F12" s="3"/>
      <x:c r="G12" s="3"/>
      <x:c r="H12" s="3"/>
      <x:c r="I12" s="3"/>
      <x:c r="J12" s="3"/>
      <x:c r="K12" s="3"/>
      <x:c r="L12" s="3"/>
      <x:c r="M12" s="3"/>
    </x:row>
    <x:row r="13" ht="38" customHeight="1">
      <x:c r="A13" s="22" t="str">
        <x:v>Biến phí bán trú</x:v>
      </x:c>
      <x:c r="B13" s="38" t="n">
        <x:f>B6*'Gia_dinh'!$C$12*'Gia_dinh'!$C$14</x:f>
        <x:v>14.399999999999999</x:v>
      </x:c>
      <x:c r="C13" s="38" t="n">
        <x:f>C6*'Gia_dinh'!$C$12*'Gia_dinh'!$C$14</x:f>
        <x:v>28.799999999999997</x:v>
      </x:c>
      <x:c r="D13" s="38" t="n">
        <x:f>D6*'Gia_dinh'!$C$12*'Gia_dinh'!$C$14</x:f>
        <x:v>33.6</x:v>
      </x:c>
      <x:c r="E13" s="22" t="str"/>
      <x:c r="F13" s="3"/>
      <x:c r="G13" s="3"/>
      <x:c r="H13" s="3"/>
      <x:c r="I13" s="3"/>
      <x:c r="J13" s="3"/>
      <x:c r="K13" s="3"/>
      <x:c r="L13" s="3"/>
      <x:c r="M13" s="3"/>
    </x:row>
    <x:row r="14" ht="38" customHeight="1">
      <x:c r="A14" s="22" t="str">
        <x:v>Biến phí doanh thu bổ sung</x:v>
      </x:c>
      <x:c r="B14" s="38" t="n">
        <x:f>B7*'Gia_dinh'!$C$15</x:f>
        <x:v>4.5</x:v>
      </x:c>
      <x:c r="C14" s="38" t="n">
        <x:f>C7*'Gia_dinh'!$C$15</x:f>
        <x:v>9</x:v>
      </x:c>
      <x:c r="D14" s="38" t="n">
        <x:f>D7*'Gia_dinh'!$C$15</x:f>
        <x:v>13.5</x:v>
      </x:c>
      <x:c r="E14" s="22" t="str"/>
      <x:c r="F14" s="3"/>
      <x:c r="G14" s="3"/>
      <x:c r="H14" s="3"/>
      <x:c r="I14" s="3"/>
      <x:c r="J14" s="3"/>
      <x:c r="K14" s="3"/>
      <x:c r="L14" s="3"/>
      <x:c r="M14" s="3"/>
    </x:row>
    <x:row r="15" ht="38" customHeight="1">
      <x:c r="A15" s="22" t="str">
        <x:v>Tổng biến phí</x:v>
      </x:c>
      <x:c r="B15" s="36" t="n">
        <x:f>SUM(B12:B14)</x:f>
        <x:v>34.9</x:v>
      </x:c>
      <x:c r="C15" s="36" t="n">
        <x:f>SUM(C12:C14)</x:f>
        <x:v>61.8</x:v>
      </x:c>
      <x:c r="D15" s="36" t="n">
        <x:f>SUM(D12:D14)</x:f>
        <x:v>79.1</x:v>
      </x:c>
      <x:c r="E15" s="22" t="str"/>
      <x:c r="F15" s="3"/>
      <x:c r="G15" s="3"/>
      <x:c r="H15" s="3"/>
      <x:c r="I15" s="3"/>
      <x:c r="J15" s="3"/>
      <x:c r="K15" s="3"/>
      <x:c r="L15" s="3"/>
      <x:c r="M15" s="3"/>
    </x:row>
    <x:row r="16" ht="38" customHeight="1">
      <x:c r="A16" s="44" t="str">
        <x:v>Lãi đóng góp</x:v>
      </x:c>
      <x:c r="B16" s="45" t="n">
        <x:f>B11-B15</x:f>
        <x:v>169.1</x:v>
      </x:c>
      <x:c r="C16" s="45" t="n">
        <x:f>C11-C15</x:f>
        <x:v>282.2</x:v>
      </x:c>
      <x:c r="D16" s="45" t="n">
        <x:f>D11-D15</x:f>
        <x:v>360.9</x:v>
      </x:c>
      <x:c r="E16" s="40" t="str">
        <x:v>Doanh thu trừ biến phí; chưa trả nhân sự và mặt bằng.</x:v>
      </x:c>
      <x:c r="F16" s="3"/>
      <x:c r="G16" s="3"/>
      <x:c r="H16" s="3"/>
      <x:c r="I16" s="3"/>
      <x:c r="J16" s="3"/>
      <x:c r="K16" s="3"/>
      <x:c r="L16" s="3"/>
      <x:c r="M16" s="3"/>
    </x:row>
    <x:row r="17" ht="38" customHeight="1">
      <x:c r="A17" s="22" t="str">
        <x:v>Nhân sự</x:v>
      </x:c>
      <x:c r="B17" s="36" t="n">
        <x:f>B8</x:f>
        <x:v>130</x:v>
      </x:c>
      <x:c r="C17" s="36" t="n">
        <x:f>C8</x:f>
        <x:v>150</x:v>
      </x:c>
      <x:c r="D17" s="36" t="n">
        <x:f>D8</x:f>
        <x:v>165</x:v>
      </x:c>
      <x:c r="E17" s="22" t="str"/>
      <x:c r="F17" s="3"/>
      <x:c r="G17" s="3"/>
      <x:c r="H17" s="3"/>
      <x:c r="I17" s="3"/>
      <x:c r="J17" s="3"/>
      <x:c r="K17" s="3"/>
      <x:c r="L17" s="3"/>
      <x:c r="M17" s="3"/>
    </x:row>
    <x:row r="18" ht="38" customHeight="1">
      <x:c r="A18" s="22" t="str">
        <x:v>Thuê và phí mặt bằng</x:v>
      </x:c>
      <x:c r="B18" s="38" t="n">
        <x:f>'Gia_dinh'!$C$16</x:f>
        <x:v>60</x:v>
      </x:c>
      <x:c r="C18" s="38" t="n">
        <x:f>'Gia_dinh'!$C$16</x:f>
        <x:v>60</x:v>
      </x:c>
      <x:c r="D18" s="38" t="n">
        <x:f>'Gia_dinh'!$C$16</x:f>
        <x:v>60</x:v>
      </x:c>
      <x:c r="E18" s="22" t="str"/>
      <x:c r="F18" s="3"/>
      <x:c r="G18" s="3"/>
      <x:c r="H18" s="3"/>
      <x:c r="I18" s="3"/>
      <x:c r="J18" s="3"/>
      <x:c r="K18" s="3"/>
      <x:c r="L18" s="3"/>
      <x:c r="M18" s="3"/>
    </x:row>
    <x:row r="19" ht="38" customHeight="1">
      <x:c r="A19" s="22" t="str">
        <x:v>Cố định khác</x:v>
      </x:c>
      <x:c r="B19" s="38" t="n">
        <x:f>'Gia_dinh'!$C$21</x:f>
        <x:v>50</x:v>
      </x:c>
      <x:c r="C19" s="38" t="n">
        <x:f>'Gia_dinh'!$C$21</x:f>
        <x:v>50</x:v>
      </x:c>
      <x:c r="D19" s="38" t="n">
        <x:f>'Gia_dinh'!$C$21</x:f>
        <x:v>50</x:v>
      </x:c>
      <x:c r="E19" s="22" t="str"/>
      <x:c r="F19" s="3"/>
      <x:c r="G19" s="3"/>
      <x:c r="H19" s="3"/>
      <x:c r="I19" s="3"/>
      <x:c r="J19" s="3"/>
      <x:c r="K19" s="3"/>
      <x:c r="L19" s="3"/>
      <x:c r="M19" s="3"/>
    </x:row>
    <x:row r="20" ht="38" customHeight="1">
      <x:c r="A20" s="44" t="str">
        <x:v>Tổng chi phí cố định</x:v>
      </x:c>
      <x:c r="B20" s="45" t="n">
        <x:f>SUM(B17:B19)</x:f>
        <x:v>240</x:v>
      </x:c>
      <x:c r="C20" s="45" t="n">
        <x:f>SUM(C17:C19)</x:f>
        <x:v>260</x:v>
      </x:c>
      <x:c r="D20" s="45" t="n">
        <x:f>SUM(D17:D19)</x:f>
        <x:v>275</x:v>
      </x:c>
      <x:c r="E20" s="40" t="str"/>
      <x:c r="F20" s="3"/>
      <x:c r="G20" s="3"/>
      <x:c r="H20" s="3"/>
      <x:c r="I20" s="3"/>
      <x:c r="J20" s="3"/>
      <x:c r="K20" s="3"/>
      <x:c r="L20" s="3"/>
      <x:c r="M20" s="3"/>
    </x:row>
    <x:row r="21" ht="38" customHeight="1">
      <x:c r="A21" s="44" t="str">
        <x:v>EBITDA / tháng</x:v>
      </x:c>
      <x:c r="B21" s="45" t="n">
        <x:f>B16-B20</x:f>
        <x:v>-70.9</x:v>
      </x:c>
      <x:c r="C21" s="45" t="n">
        <x:f>C16-C20</x:f>
        <x:v>22.19999999999999</x:v>
      </x:c>
      <x:c r="D21" s="45" t="n">
        <x:f>D16-D20</x:f>
        <x:v>85.89999999999998</x:v>
      </x:c>
      <x:c r="E21" s="40" t="str">
        <x:v>Trước khấu hao, lãi vay và thuế. Không phải lợi nhuận ròng hay tiền phân phối.</x:v>
      </x:c>
      <x:c r="F21" s="3"/>
      <x:c r="G21" s="3"/>
      <x:c r="H21" s="3"/>
      <x:c r="I21" s="3"/>
      <x:c r="J21" s="3"/>
      <x:c r="K21" s="3"/>
      <x:c r="L21" s="3"/>
      <x:c r="M21" s="3"/>
    </x:row>
    <x:row r="22" ht="38" customHeight="1">
      <x:c r="A22" s="22" t="str">
        <x:v>Biên EBITDA</x:v>
      </x:c>
      <x:c r="B22" s="52" t="n">
        <x:f>IFERROR(B21/B11,0)</x:f>
        <x:v>-0.3475490196078432</x:v>
      </x:c>
      <x:c r="C22" s="52" t="n">
        <x:f>IFERROR(C21/C11,0)</x:f>
        <x:v>0.0645348837209302</x:v>
      </x:c>
      <x:c r="D22" s="52" t="n">
        <x:f>IFERROR(D21/D11,0)</x:f>
        <x:v>0.19522727272727267</x:v>
      </x:c>
      <x:c r="E22" s="22" t="str"/>
      <x:c r="F22" s="3"/>
      <x:c r="G22" s="3"/>
      <x:c r="H22" s="3"/>
      <x:c r="I22" s="3"/>
      <x:c r="J22" s="3"/>
      <x:c r="K22" s="3"/>
      <x:c r="L22" s="3"/>
      <x:c r="M22" s="3"/>
    </x:row>
    <x:row r="23" ht="38" customHeight="1">
      <x:c r="A23" s="22" t="str">
        <x:v>Lãi đóng góp / hội viên CLB</x:v>
      </x:c>
      <x:c r="B23" s="38" t="n">
        <x:f>'Gia_dinh'!$C$7-'Gia_dinh'!$C$8*'Gia_dinh'!$C$10</x:f>
        <x:v>1.4000000000000001</x:v>
      </x:c>
      <x:c r="C23" s="38" t="n">
        <x:f>'Gia_dinh'!$C$7-'Gia_dinh'!$C$8*'Gia_dinh'!$C$10</x:f>
        <x:v>1.4000000000000001</x:v>
      </x:c>
      <x:c r="D23" s="38" t="n">
        <x:f>'Gia_dinh'!$C$7-'Gia_dinh'!$C$8*'Gia_dinh'!$C$10</x:f>
        <x:v>1.4000000000000001</x:v>
      </x:c>
      <x:c r="E23" s="22" t="str"/>
      <x:c r="F23" s="3"/>
      <x:c r="G23" s="3"/>
      <x:c r="H23" s="3"/>
      <x:c r="I23" s="3"/>
      <x:c r="J23" s="3"/>
      <x:c r="K23" s="3"/>
      <x:c r="L23" s="3"/>
      <x:c r="M23" s="3"/>
    </x:row>
    <x:row r="24" ht="38" customHeight="1">
      <x:c r="A24" s="22" t="str">
        <x:v>Lãi đóng góp / khách bán trú</x:v>
      </x:c>
      <x:c r="B24" s="38" t="n">
        <x:f>'Gia_dinh'!$C$11-'Gia_dinh'!$C$12*'Gia_dinh'!$C$14</x:f>
        <x:v>4.3</x:v>
      </x:c>
      <x:c r="C24" s="38" t="n">
        <x:f>'Gia_dinh'!$C$11-'Gia_dinh'!$C$12*'Gia_dinh'!$C$14</x:f>
        <x:v>4.3</x:v>
      </x:c>
      <x:c r="D24" s="38" t="n">
        <x:f>'Gia_dinh'!$C$11-'Gia_dinh'!$C$12*'Gia_dinh'!$C$14</x:f>
        <x:v>4.3</x:v>
      </x:c>
      <x:c r="E24" s="22" t="str"/>
      <x:c r="F24" s="3"/>
      <x:c r="G24" s="3"/>
      <x:c r="H24" s="3"/>
      <x:c r="I24" s="3"/>
      <x:c r="J24" s="3"/>
      <x:c r="K24" s="3"/>
      <x:c r="L24" s="3"/>
      <x:c r="M24" s="3"/>
    </x:row>
    <x:row r="25" ht="38" customHeight="1">
      <x:c r="A25" s="44" t="str">
        <x:v>Hội viên CLB cần để hòa vốn</x:v>
      </x:c>
      <x:c r="B25" s="60" t="n">
        <x:f>IF(B23&gt;0,ROUNDUP(MAX(0,(B20-B6*B24-B7*(1-'Gia_dinh'!$C$15))/B23),0),"Không khả thi")</x:f>
        <x:v>131</x:v>
      </x:c>
      <x:c r="C25" s="60" t="n">
        <x:f>IF(C23&gt;0,ROUNDUP(MAX(0,(C20-C6*C24-C7*(1-'Gia_dinh'!$C$15))/C23),0),"Không khả thi")</x:f>
        <x:v>105</x:v>
      </x:c>
      <x:c r="D25" s="60" t="n">
        <x:f>IF(D23&gt;0,ROUNDUP(MAX(0,(D20-D6*D24-D7*(1-'Gia_dinh'!$C$15))/D23),0),"Không khả thi")</x:f>
        <x:v>99</x:v>
      </x:c>
      <x:c r="E25" s="40" t="str">
        <x:v>Giữ nguyên số khách bán trú, doanh thu bổ sung và định biên của cột đó.</x:v>
      </x:c>
      <x:c r="F25" s="3"/>
      <x:c r="G25" s="3"/>
      <x:c r="H25" s="3"/>
      <x:c r="I25" s="3"/>
      <x:c r="J25" s="3"/>
      <x:c r="K25" s="3"/>
      <x:c r="L25" s="3"/>
      <x:c r="M25" s="3"/>
    </x:row>
    <x:row r="26" ht="38" customHeight="1">
      <x:c r="A26" s="22" t="str">
        <x:v>Lượt CLB / tháng</x:v>
      </x:c>
      <x:c r="B26" s="56" t="n">
        <x:f>B5*'Gia_dinh'!$C$8</x:f>
        <x:v>800</x:v>
      </x:c>
      <x:c r="C26" s="56" t="n">
        <x:f>C5*'Gia_dinh'!$C$8</x:f>
        <x:v>1200</x:v>
      </x:c>
      <x:c r="D26" s="56" t="n">
        <x:f>D5*'Gia_dinh'!$C$8</x:f>
        <x:v>1600</x:v>
      </x:c>
      <x:c r="E26" s="22" t="str"/>
      <x:c r="F26" s="3"/>
      <x:c r="G26" s="3"/>
      <x:c r="H26" s="3"/>
      <x:c r="I26" s="3"/>
      <x:c r="J26" s="3"/>
      <x:c r="K26" s="3"/>
      <x:c r="L26" s="3"/>
      <x:c r="M26" s="3"/>
    </x:row>
    <x:row r="27" ht="38" customHeight="1">
      <x:c r="A27" s="22" t="str">
        <x:v>Ngày-khách bán trú / tháng</x:v>
      </x:c>
      <x:c r="B27" s="56" t="n">
        <x:f>B6*'Gia_dinh'!$C$12</x:f>
        <x:v>192</x:v>
      </x:c>
      <x:c r="C27" s="56" t="n">
        <x:f>C6*'Gia_dinh'!$C$12</x:f>
        <x:v>384</x:v>
      </x:c>
      <x:c r="D27" s="56" t="n">
        <x:f>D6*'Gia_dinh'!$C$12</x:f>
        <x:v>448</x:v>
      </x:c>
      <x:c r="E27" s="22" t="str"/>
      <x:c r="F27" s="3"/>
      <x:c r="G27" s="3"/>
      <x:c r="H27" s="3"/>
      <x:c r="I27" s="3"/>
      <x:c r="J27" s="3"/>
      <x:c r="K27" s="3"/>
      <x:c r="L27" s="3"/>
      <x:c r="M27" s="3"/>
    </x:row>
    <x:row r="28" ht="38" customHeight="1">
      <x:c r="A28" s="22" t="str">
        <x:v>Sử dụng công suất bán trú</x:v>
      </x:c>
      <x:c r="B28" s="54" t="n">
        <x:f>B27/('Gia_dinh'!$C$23*'Gia_dinh'!$C$5)</x:f>
        <x:v>0.36923076923076925</x:v>
      </x:c>
      <x:c r="C28" s="54" t="n">
        <x:f>C27/('Gia_dinh'!$C$23*'Gia_dinh'!$C$5)</x:f>
        <x:v>0.7384615384615385</x:v>
      </x:c>
      <x:c r="D28" s="54" t="n">
        <x:f>D27/('Gia_dinh'!$C$23*'Gia_dinh'!$C$5)</x:f>
        <x:v>0.8615384615384616</x:v>
      </x:c>
      <x:c r="E28" s="22" t="str">
        <x:v>Không thay thế giới hạn khách ở giờ cao điểm.</x:v>
      </x:c>
      <x:c r="F28" s="3"/>
      <x:c r="G28" s="3"/>
      <x:c r="H28" s="3"/>
      <x:c r="I28" s="3"/>
      <x:c r="J28" s="3"/>
      <x:c r="K28" s="3"/>
      <x:c r="L28" s="3"/>
      <x:c r="M28" s="3"/>
    </x:row>
    <x:row r="29" ht="38" customHeight="1">
      <x:c r="A29" s="22" t="str">
        <x:v>Giờ-khách đã sử dụng</x:v>
      </x:c>
      <x:c r="B29" s="38" t="n">
        <x:f>B26*'Gia_dinh'!$C$9+B27*'Gia_dinh'!$C$13</x:f>
        <x:v>3440</x:v>
      </x:c>
      <x:c r="C29" s="38" t="n">
        <x:f>C26*'Gia_dinh'!$C$9+C27*'Gia_dinh'!$C$13</x:f>
        <x:v>5880</x:v>
      </x:c>
      <x:c r="D29" s="38" t="n">
        <x:f>D26*'Gia_dinh'!$C$9+D27*'Gia_dinh'!$C$13</x:f>
        <x:v>7360</x:v>
      </x:c>
      <x:c r="E29" s="22" t="str"/>
      <x:c r="F29" s="3"/>
      <x:c r="G29" s="3"/>
      <x:c r="H29" s="3"/>
      <x:c r="I29" s="3"/>
      <x:c r="J29" s="3"/>
      <x:c r="K29" s="3"/>
      <x:c r="L29" s="3"/>
      <x:c r="M29" s="3"/>
    </x:row>
    <x:row r="30" ht="38" customHeight="1">
      <x:c r="A30" s="22" t="str">
        <x:v>Công suất giờ-khách giả định</x:v>
      </x:c>
      <x:c r="B30" s="38" t="n">
        <x:f>'Gia_dinh'!$C$5*'Gia_dinh'!$C$6*'Gia_dinh'!$C$22</x:f>
        <x:v>10400</x:v>
      </x:c>
      <x:c r="C30" s="38" t="n">
        <x:f>'Gia_dinh'!$C$5*'Gia_dinh'!$C$6*'Gia_dinh'!$C$22</x:f>
        <x:v>10400</x:v>
      </x:c>
      <x:c r="D30" s="38" t="n">
        <x:f>'Gia_dinh'!$C$5*'Gia_dinh'!$C$6*'Gia_dinh'!$C$22</x:f>
        <x:v>10400</x:v>
      </x:c>
      <x:c r="E30" s="22" t="str">
        <x:v>Trần mô phỏng, không phải sức chứa được chứng nhận.</x:v>
      </x:c>
      <x:c r="F30" s="3"/>
      <x:c r="G30" s="3"/>
      <x:c r="H30" s="3"/>
      <x:c r="I30" s="3"/>
      <x:c r="J30" s="3"/>
      <x:c r="K30" s="3"/>
      <x:c r="L30" s="3"/>
      <x:c r="M30" s="3"/>
    </x:row>
    <x:row r="31" ht="38" customHeight="1">
      <x:c r="A31" s="22" t="str">
        <x:v>Sử dụng công suất giờ-khách</x:v>
      </x:c>
      <x:c r="B31" s="52" t="n">
        <x:f>B29/B30</x:f>
        <x:v>0.33076923076923076</x:v>
      </x:c>
      <x:c r="C31" s="52" t="n">
        <x:f>C29/C30</x:f>
        <x:v>0.5653846153846154</x:v>
      </x:c>
      <x:c r="D31" s="52" t="n">
        <x:f>D29/D30</x:f>
        <x:v>0.7076923076923077</x:v>
      </x:c>
      <x:c r="E31" s="22" t="str"/>
      <x:c r="F31" s="3"/>
      <x:c r="G31" s="3"/>
      <x:c r="H31" s="3"/>
      <x:c r="I31" s="3"/>
      <x:c r="J31" s="3"/>
      <x:c r="K31" s="3"/>
      <x:c r="L31" s="3"/>
      <x:c r="M31" s="3"/>
    </x:row>
    <x:row r="32" ht="38" customHeight="1">
      <x:c r="A32" s="22" t="str">
        <x:v>Khách hiện diện bình quân</x:v>
      </x:c>
      <x:c r="B32" s="38" t="n">
        <x:f>B29/('Gia_dinh'!$C$5*'Gia_dinh'!$C$6)</x:f>
        <x:v>16.53846153846154</x:v>
      </x:c>
      <x:c r="C32" s="38" t="n">
        <x:f>C29/('Gia_dinh'!$C$5*'Gia_dinh'!$C$6)</x:f>
        <x:v>28.26923076923077</x:v>
      </x:c>
      <x:c r="D32" s="38" t="n">
        <x:f>D29/('Gia_dinh'!$C$5*'Gia_dinh'!$C$6)</x:f>
        <x:v>35.38461538461539</x:v>
      </x:c>
      <x:c r="E32" s="22" t="str">
        <x:v>Bình quân che khuất giờ cao điểm; cần đặt lịch theo từng khung.</x:v>
      </x:c>
      <x:c r="F32" s="3"/>
      <x:c r="G32" s="3"/>
      <x:c r="H32" s="3"/>
      <x:c r="I32" s="3"/>
      <x:c r="J32" s="3"/>
      <x:c r="K32" s="3"/>
      <x:c r="L32" s="3"/>
      <x:c r="M32" s="3"/>
    </x:row>
    <x:row r="33" ht="23" customHeight="1">
      <x:c r="A33" s="3"/>
      <x:c r="B33" s="3"/>
      <x:c r="C33" s="3"/>
      <x:c r="D33" s="3"/>
      <x:c r="E33" s="3"/>
      <x:c r="F33" s="3"/>
      <x:c r="G33" s="3"/>
      <x:c r="H33" s="3"/>
      <x:c r="I33" s="3"/>
      <x:c r="J33" s="3"/>
      <x:c r="K33" s="3"/>
      <x:c r="L33" s="3"/>
      <x:c r="M33" s="3"/>
    </x:row>
    <x:row r="34" ht="23" customHeight="1">
      <x:c r="A34" s="3"/>
      <x:c r="B34" s="3"/>
      <x:c r="C34" s="3"/>
      <x:c r="D34" s="3"/>
      <x:c r="E34" s="3"/>
      <x:c r="F34" s="3"/>
      <x:c r="G34" s="3"/>
      <x:c r="H34" s="3"/>
      <x:c r="I34" s="3"/>
      <x:c r="J34" s="3"/>
      <x:c r="K34" s="3"/>
      <x:c r="L34" s="3"/>
      <x:c r="M34" s="3"/>
    </x:row>
    <x:row r="35" ht="25" customHeight="1">
      <x:c r="A35" s="62" t="str">
        <x:v>Công suất chỉ là giả định để tính. Không suy ra khả năng tiếp nhận 50 khách hoặc 20 khách bán trú từ diện tích 500 m². Cần phê duyệt công năng, thiết kế tiếp cận, PCCC, sơ tán và định biên phù hợp.</x:v>
      </x:c>
      <x:c r="B35" s="62"/>
      <x:c r="C35" s="62"/>
      <x:c r="D35" s="62"/>
      <x:c r="E35" s="62"/>
      <x:c r="F35" s="3"/>
      <x:c r="G35" s="3"/>
      <x:c r="H35" s="3"/>
      <x:c r="I35" s="3"/>
      <x:c r="J35" s="3"/>
      <x:c r="K35" s="3"/>
      <x:c r="L35" s="3"/>
      <x:c r="M35" s="3"/>
    </x:row>
    <x:row r="36" ht="25" customHeight="1">
      <x:c r="A36" s="62"/>
      <x:c r="B36" s="62"/>
      <x:c r="C36" s="62"/>
      <x:c r="D36" s="62"/>
      <x:c r="E36" s="62"/>
      <x:c r="F36" s="3"/>
      <x:c r="G36" s="3"/>
      <x:c r="H36" s="3"/>
      <x:c r="I36" s="3"/>
      <x:c r="J36" s="3"/>
      <x:c r="K36" s="3"/>
      <x:c r="L36" s="3"/>
      <x:c r="M36" s="3"/>
    </x:row>
    <x:row r="37" ht="25" customHeight="1">
      <x:c r="A37" s="62"/>
      <x:c r="B37" s="62"/>
      <x:c r="C37" s="62"/>
      <x:c r="D37" s="62"/>
      <x:c r="E37" s="62"/>
      <x:c r="F37" s="3"/>
      <x:c r="G37" s="3"/>
      <x:c r="H37" s="3"/>
      <x:c r="I37" s="3"/>
      <x:c r="J37" s="3"/>
      <x:c r="K37" s="3"/>
      <x:c r="L37" s="3"/>
      <x:c r="M37" s="3"/>
    </x:row>
    <x:row r="38" ht="23" customHeight="1">
      <x:c r="A38" s="3"/>
      <x:c r="B38" s="3"/>
      <x:c r="C38" s="3"/>
      <x:c r="D38" s="3"/>
      <x:c r="E38" s="3"/>
      <x:c r="F38" s="3"/>
      <x:c r="G38" s="3"/>
      <x:c r="H38" s="3"/>
      <x:c r="I38" s="3"/>
      <x:c r="J38" s="3"/>
      <x:c r="K38" s="3"/>
      <x:c r="L38" s="3"/>
      <x:c r="M38" s="3"/>
    </x:row>
    <x:row r="39" ht="23" customHeight="1">
      <x:c r="A39" s="3"/>
      <x:c r="B39" s="3"/>
      <x:c r="C39" s="3"/>
      <x:c r="D39" s="3"/>
      <x:c r="E39" s="3"/>
      <x:c r="F39" s="3"/>
      <x:c r="G39" s="3"/>
      <x:c r="H39" s="3"/>
      <x:c r="I39" s="3"/>
      <x:c r="J39" s="3"/>
      <x:c r="K39" s="3"/>
      <x:c r="L39" s="3"/>
      <x:c r="M39" s="3"/>
    </x:row>
    <x:row r="40" ht="23" customHeight="1">
      <x:c r="A40" s="3"/>
      <x:c r="B40" s="3"/>
      <x:c r="C40" s="3"/>
      <x:c r="D40" s="3"/>
      <x:c r="E40" s="3"/>
      <x:c r="F40" s="3"/>
      <x:c r="G40" s="3"/>
      <x:c r="H40" s="3"/>
      <x:c r="I40" s="3"/>
      <x:c r="J40" s="3"/>
      <x:c r="K40" s="3"/>
      <x:c r="L40" s="3"/>
      <x:c r="M40" s="3"/>
    </x:row>
    <x:row r="41" ht="23" customHeight="1">
      <x:c r="A41" s="3"/>
      <x:c r="B41" s="3"/>
      <x:c r="C41" s="3"/>
      <x:c r="D41" s="3"/>
      <x:c r="E41" s="3"/>
      <x:c r="F41" s="3"/>
      <x:c r="G41" s="3"/>
      <x:c r="H41" s="3"/>
      <x:c r="I41" s="3"/>
      <x:c r="J41" s="3"/>
      <x:c r="K41" s="3"/>
      <x:c r="L41" s="3"/>
      <x:c r="M41" s="3"/>
    </x:row>
    <x:row r="42" ht="23" customHeight="1">
      <x:c r="A42" s="3"/>
      <x:c r="B42" s="3"/>
      <x:c r="C42" s="3"/>
      <x:c r="D42" s="3"/>
      <x:c r="E42" s="3"/>
      <x:c r="F42" s="3"/>
      <x:c r="G42" s="3"/>
      <x:c r="H42" s="3"/>
      <x:c r="I42" s="3"/>
      <x:c r="J42" s="3"/>
      <x:c r="K42" s="3"/>
      <x:c r="L42" s="3"/>
      <x:c r="M42" s="3"/>
    </x:row>
    <x:row r="43" ht="23" customHeight="1">
      <x:c r="A43" s="3"/>
      <x:c r="B43" s="3"/>
      <x:c r="C43" s="3"/>
      <x:c r="D43" s="3"/>
      <x:c r="E43" s="3"/>
      <x:c r="F43" s="3"/>
      <x:c r="G43" s="3"/>
      <x:c r="H43" s="3"/>
      <x:c r="I43" s="3"/>
      <x:c r="J43" s="3"/>
      <x:c r="K43" s="3"/>
      <x:c r="L43" s="3"/>
      <x:c r="M43" s="3"/>
    </x:row>
    <x:row r="44" ht="23" customHeight="1">
      <x:c r="A44" s="3"/>
      <x:c r="B44" s="3"/>
      <x:c r="C44" s="3"/>
      <x:c r="D44" s="3"/>
      <x:c r="E44" s="3"/>
      <x:c r="F44" s="3"/>
      <x:c r="G44" s="3"/>
      <x:c r="H44" s="3"/>
      <x:c r="I44" s="3"/>
      <x:c r="J44" s="3"/>
      <x:c r="K44" s="3"/>
      <x:c r="L44" s="3"/>
      <x:c r="M44" s="3"/>
    </x:row>
    <x:row r="45" ht="23" customHeight="1">
      <x:c r="A45" s="3"/>
      <x:c r="B45" s="3"/>
      <x:c r="C45" s="3"/>
      <x:c r="D45" s="3"/>
      <x:c r="E45" s="3"/>
      <x:c r="F45" s="3"/>
      <x:c r="G45" s="3"/>
      <x:c r="H45" s="3"/>
      <x:c r="I45" s="3"/>
      <x:c r="J45" s="3"/>
      <x:c r="K45" s="3"/>
      <x:c r="L45" s="3"/>
      <x:c r="M45" s="3"/>
    </x:row>
    <x:row r="46" ht="23" customHeight="1">
      <x:c r="A46" s="3"/>
      <x:c r="B46" s="3"/>
      <x:c r="C46" s="3"/>
      <x:c r="D46" s="3"/>
      <x:c r="E46" s="3"/>
      <x:c r="F46" s="3"/>
      <x:c r="G46" s="3"/>
      <x:c r="H46" s="3"/>
      <x:c r="I46" s="3"/>
      <x:c r="J46" s="3"/>
      <x:c r="K46" s="3"/>
      <x:c r="L46" s="3"/>
      <x:c r="M46" s="3"/>
    </x:row>
    <x:row r="47" ht="23" customHeight="1">
      <x:c r="A47" s="3"/>
      <x:c r="B47" s="3"/>
      <x:c r="C47" s="3"/>
      <x:c r="D47" s="3"/>
      <x:c r="E47" s="3"/>
      <x:c r="F47" s="3"/>
      <x:c r="G47" s="3"/>
      <x:c r="H47" s="3"/>
      <x:c r="I47" s="3"/>
      <x:c r="J47" s="3"/>
      <x:c r="K47" s="3"/>
      <x:c r="L47" s="3"/>
      <x:c r="M47" s="3"/>
    </x:row>
    <x:row r="48" ht="23" customHeight="1">
      <x:c r="A48" s="3"/>
      <x:c r="B48" s="3"/>
      <x:c r="C48" s="3"/>
      <x:c r="D48" s="3"/>
      <x:c r="E48" s="3"/>
      <x:c r="F48" s="3"/>
      <x:c r="G48" s="3"/>
      <x:c r="H48" s="3"/>
      <x:c r="I48" s="3"/>
      <x:c r="J48" s="3"/>
      <x:c r="K48" s="3"/>
      <x:c r="L48" s="3"/>
      <x:c r="M48" s="3"/>
    </x:row>
    <x:row r="49" ht="23" customHeight="1">
      <x:c r="A49" s="3"/>
      <x:c r="B49" s="3"/>
      <x:c r="C49" s="3"/>
      <x:c r="D49" s="3"/>
      <x:c r="E49" s="3"/>
      <x:c r="F49" s="3"/>
      <x:c r="G49" s="3"/>
      <x:c r="H49" s="3"/>
      <x:c r="I49" s="3"/>
      <x:c r="J49" s="3"/>
      <x:c r="K49" s="3"/>
      <x:c r="L49" s="3"/>
      <x:c r="M49" s="3"/>
    </x:row>
    <x:row r="50" ht="23" customHeight="1">
      <x:c r="A50" s="3"/>
      <x:c r="B50" s="3"/>
      <x:c r="C50" s="3"/>
      <x:c r="D50" s="3"/>
      <x:c r="E50" s="3"/>
      <x:c r="F50" s="3"/>
      <x:c r="G50" s="3"/>
      <x:c r="H50" s="3"/>
      <x:c r="I50" s="3"/>
      <x:c r="J50" s="3"/>
      <x:c r="K50" s="3"/>
      <x:c r="L50" s="3"/>
      <x:c r="M50" s="3"/>
    </x:row>
    <x:row r="51" ht="23" customHeight="1">
      <x:c r="A51" s="3"/>
      <x:c r="B51" s="3"/>
      <x:c r="C51" s="3"/>
      <x:c r="D51" s="3"/>
      <x:c r="E51" s="3"/>
      <x:c r="F51" s="3"/>
      <x:c r="G51" s="3"/>
      <x:c r="H51" s="3"/>
      <x:c r="I51" s="3"/>
      <x:c r="J51" s="3"/>
      <x:c r="K51" s="3"/>
      <x:c r="L51" s="3"/>
      <x:c r="M51" s="3"/>
    </x:row>
    <x:row r="52" ht="23" customHeight="1">
      <x:c r="A52" s="3"/>
      <x:c r="B52" s="3"/>
      <x:c r="C52" s="3"/>
      <x:c r="D52" s="3"/>
      <x:c r="E52" s="3"/>
      <x:c r="F52" s="3"/>
      <x:c r="G52" s="3"/>
      <x:c r="H52" s="3"/>
      <x:c r="I52" s="3"/>
      <x:c r="J52" s="3"/>
      <x:c r="K52" s="3"/>
      <x:c r="L52" s="3"/>
      <x:c r="M52" s="3"/>
    </x:row>
    <x:row r="53" ht="23" customHeight="1">
      <x:c r="A53" s="3"/>
      <x:c r="B53" s="3"/>
      <x:c r="C53" s="3"/>
      <x:c r="D53" s="3"/>
      <x:c r="E53" s="3"/>
      <x:c r="F53" s="3"/>
      <x:c r="G53" s="3"/>
      <x:c r="H53" s="3"/>
      <x:c r="I53" s="3"/>
      <x:c r="J53" s="3"/>
      <x:c r="K53" s="3"/>
      <x:c r="L53" s="3"/>
      <x:c r="M53" s="3"/>
    </x:row>
    <x:row r="54" ht="23" customHeight="1">
      <x:c r="A54" s="3"/>
      <x:c r="B54" s="3"/>
      <x:c r="C54" s="3"/>
      <x:c r="D54" s="3"/>
      <x:c r="E54" s="3"/>
      <x:c r="F54" s="3"/>
      <x:c r="G54" s="3"/>
      <x:c r="H54" s="3"/>
      <x:c r="I54" s="3"/>
      <x:c r="J54" s="3"/>
      <x:c r="K54" s="3"/>
      <x:c r="L54" s="3"/>
      <x:c r="M54" s="3"/>
    </x:row>
    <x:row r="55" ht="23" customHeight="1">
      <x:c r="A55" s="3"/>
      <x:c r="B55" s="3"/>
      <x:c r="C55" s="3"/>
      <x:c r="D55" s="3"/>
      <x:c r="E55" s="3"/>
      <x:c r="F55" s="3"/>
      <x:c r="G55" s="3"/>
      <x:c r="H55" s="3"/>
      <x:c r="I55" s="3"/>
      <x:c r="J55" s="3"/>
      <x:c r="K55" s="3"/>
      <x:c r="L55" s="3"/>
      <x:c r="M55" s="3"/>
    </x:row>
    <x:row r="56" ht="23" customHeight="1">
      <x:c r="A56" s="3"/>
      <x:c r="B56" s="3"/>
      <x:c r="C56" s="3"/>
      <x:c r="D56" s="3"/>
      <x:c r="E56" s="3"/>
      <x:c r="F56" s="3"/>
      <x:c r="G56" s="3"/>
      <x:c r="H56" s="3"/>
      <x:c r="I56" s="3"/>
      <x:c r="J56" s="3"/>
      <x:c r="K56" s="3"/>
      <x:c r="L56" s="3"/>
      <x:c r="M56" s="3"/>
    </x:row>
    <x:row r="57" ht="23" customHeight="1">
      <x:c r="A57" s="3"/>
      <x:c r="B57" s="3"/>
      <x:c r="C57" s="3"/>
      <x:c r="D57" s="3"/>
      <x:c r="E57" s="3"/>
      <x:c r="F57" s="3"/>
      <x:c r="G57" s="3"/>
      <x:c r="H57" s="3"/>
      <x:c r="I57" s="3"/>
      <x:c r="J57" s="3"/>
      <x:c r="K57" s="3"/>
      <x:c r="L57" s="3"/>
      <x:c r="M57" s="3"/>
    </x:row>
    <x:row r="58" ht="23" customHeight="1">
      <x:c r="A58" s="3"/>
      <x:c r="B58" s="3"/>
      <x:c r="C58" s="3"/>
      <x:c r="D58" s="3"/>
      <x:c r="E58" s="3"/>
      <x:c r="F58" s="3"/>
      <x:c r="G58" s="3"/>
      <x:c r="H58" s="3"/>
      <x:c r="I58" s="3"/>
      <x:c r="J58" s="3"/>
      <x:c r="K58" s="3"/>
      <x:c r="L58" s="3"/>
      <x:c r="M58" s="3"/>
    </x:row>
    <x:row r="59" ht="23" customHeight="1">
      <x:c r="A59" s="3"/>
      <x:c r="B59" s="3"/>
      <x:c r="C59" s="3"/>
      <x:c r="D59" s="3"/>
      <x:c r="E59" s="3"/>
      <x:c r="F59" s="3"/>
      <x:c r="G59" s="3"/>
      <x:c r="H59" s="3"/>
      <x:c r="I59" s="3"/>
      <x:c r="J59" s="3"/>
      <x:c r="K59" s="3"/>
      <x:c r="L59" s="3"/>
      <x:c r="M59" s="3"/>
    </x:row>
    <x:row r="60" ht="23" customHeight="1">
      <x:c r="A60" s="3"/>
      <x:c r="B60" s="3"/>
      <x:c r="C60" s="3"/>
      <x:c r="D60" s="3"/>
      <x:c r="E60" s="3"/>
      <x:c r="F60" s="3"/>
      <x:c r="G60" s="3"/>
      <x:c r="H60" s="3"/>
      <x:c r="I60" s="3"/>
      <x:c r="J60" s="3"/>
      <x:c r="K60" s="3"/>
      <x:c r="L60" s="3"/>
      <x:c r="M60" s="3"/>
    </x:row>
    <x:row r="61" ht="23" customHeight="1">
      <x:c r="A61" s="3"/>
      <x:c r="B61" s="3"/>
      <x:c r="C61" s="3"/>
      <x:c r="D61" s="3"/>
      <x:c r="E61" s="3"/>
      <x:c r="F61" s="3"/>
      <x:c r="G61" s="3"/>
      <x:c r="H61" s="3"/>
      <x:c r="I61" s="3"/>
      <x:c r="J61" s="3"/>
      <x:c r="K61" s="3"/>
      <x:c r="L61" s="3"/>
      <x:c r="M61" s="3"/>
    </x:row>
    <x:row r="62" ht="23" customHeight="1">
      <x:c r="A62" s="3"/>
      <x:c r="B62" s="3"/>
      <x:c r="C62" s="3"/>
      <x:c r="D62" s="3"/>
      <x:c r="E62" s="3"/>
      <x:c r="F62" s="3"/>
      <x:c r="G62" s="3"/>
      <x:c r="H62" s="3"/>
      <x:c r="I62" s="3"/>
      <x:c r="J62" s="3"/>
      <x:c r="K62" s="3"/>
      <x:c r="L62" s="3"/>
      <x:c r="M62" s="3"/>
    </x:row>
    <x:row r="63" ht="23" customHeight="1">
      <x:c r="A63" s="3"/>
      <x:c r="B63" s="3"/>
      <x:c r="C63" s="3"/>
      <x:c r="D63" s="3"/>
      <x:c r="E63" s="3"/>
      <x:c r="F63" s="3"/>
      <x:c r="G63" s="3"/>
      <x:c r="H63" s="3"/>
      <x:c r="I63" s="3"/>
      <x:c r="J63" s="3"/>
      <x:c r="K63" s="3"/>
      <x:c r="L63" s="3"/>
      <x:c r="M63" s="3"/>
    </x:row>
    <x:row r="64" ht="23" customHeight="1">
      <x:c r="A64" s="3"/>
      <x:c r="B64" s="3"/>
      <x:c r="C64" s="3"/>
      <x:c r="D64" s="3"/>
      <x:c r="E64" s="3"/>
      <x:c r="F64" s="3"/>
      <x:c r="G64" s="3"/>
      <x:c r="H64" s="3"/>
      <x:c r="I64" s="3"/>
      <x:c r="J64" s="3"/>
      <x:c r="K64" s="3"/>
      <x:c r="L64" s="3"/>
      <x:c r="M64" s="3"/>
    </x:row>
    <x:row r="65" ht="23" customHeight="1">
      <x:c r="A65" s="3"/>
      <x:c r="B65" s="3"/>
      <x:c r="C65" s="3"/>
      <x:c r="D65" s="3"/>
      <x:c r="E65" s="3"/>
      <x:c r="F65" s="3"/>
      <x:c r="G65" s="3"/>
      <x:c r="H65" s="3"/>
      <x:c r="I65" s="3"/>
      <x:c r="J65" s="3"/>
      <x:c r="K65" s="3"/>
      <x:c r="L65" s="3"/>
      <x:c r="M65" s="3"/>
    </x:row>
  </x:sheetData>
  <x:mergeCells>
    <x:mergeCell ref="A1:E2"/>
    <x:mergeCell ref="A3:E3"/>
    <x:mergeCell ref="A35:E37"/>
  </x:mergeCells>
  <x:conditionalFormatting sqref="B21:D21">
    <x:cfRule type="cellIs" dxfId="1" priority="1" operator="lessThan">
      <x:formula>0</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10" hidden="0" customWidth="1"/>
    <x:col min="2" max="2" width="16" hidden="0" customWidth="1"/>
    <x:col min="3" max="3" width="16" hidden="0" customWidth="1"/>
    <x:col min="4" max="4" width="16" hidden="0" customWidth="1"/>
    <x:col min="5" max="5" width="16"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s>
  <x:sheetData>
    <x:row r="1" ht="23" customHeight="1">
      <x:c r="A1" s="8" t="str">
        <x:v>DÒNG TIỀN VẬN HÀNH 12 THÁNG: PHƯƠNG ÁN A</x:v>
      </x:c>
      <x:c r="B1" s="8"/>
      <x:c r="C1" s="8"/>
      <x:c r="D1" s="8"/>
      <x:c r="E1" s="8"/>
      <x:c r="F1" s="8"/>
      <x:c r="G1" s="8"/>
      <x:c r="H1" s="8"/>
      <x:c r="I1" s="8"/>
      <x:c r="J1" s="8"/>
      <x:c r="K1" s="8"/>
      <x:c r="L1" s="8"/>
      <x:c r="M1" s="8"/>
    </x:row>
    <x:row r="2" ht="23" customHeight="1">
      <x:c r="A2" s="8"/>
      <x:c r="B2" s="8"/>
      <x:c r="C2" s="8"/>
      <x:c r="D2" s="8"/>
      <x:c r="E2" s="8"/>
      <x:c r="F2" s="8"/>
      <x:c r="G2" s="8"/>
      <x:c r="H2" s="8"/>
      <x:c r="I2" s="8"/>
      <x:c r="J2" s="8"/>
      <x:c r="K2" s="8"/>
      <x:c r="L2" s="8"/>
      <x:c r="M2" s="8"/>
    </x:row>
    <x:row r="3" ht="32" customHeight="1">
      <x:c r="A3" s="13" t="str">
        <x:v>Triệu đồng | Khách mới ghi nhận trung bình nửa tháng | Không phải báo cáo lưu chuyển tiền tệ đầy đủ</x:v>
      </x:c>
      <x:c r="B3" s="13"/>
      <x:c r="C3" s="13"/>
      <x:c r="D3" s="13"/>
      <x:c r="E3" s="13"/>
      <x:c r="F3" s="13"/>
      <x:c r="G3" s="13"/>
      <x:c r="H3" s="13"/>
      <x:c r="I3" s="13"/>
      <x:c r="J3" s="13"/>
      <x:c r="K3" s="13"/>
      <x:c r="L3" s="13"/>
      <x:c r="M3" s="13"/>
    </x:row>
    <x:row r="4" ht="48" customHeight="1">
      <x:c r="A4" s="18" t="str">
        <x:v>Tháng</x:v>
      </x:c>
      <x:c r="B4" s="18" t="str">
        <x:v>HV cuối tháng</x:v>
      </x:c>
      <x:c r="C4" s="18" t="str">
        <x:v>HV giữ lại</x:v>
      </x:c>
      <x:c r="D4" s="18" t="str">
        <x:v>HV mới cần có</x:v>
      </x:c>
      <x:c r="E4" s="18" t="str">
        <x:v>HV quy đổi đủ tháng</x:v>
      </x:c>
      <x:c r="F4" s="18" t="str">
        <x:v>Doanh thu</x:v>
      </x:c>
      <x:c r="G4" s="18" t="str">
        <x:v>Biến phí</x:v>
      </x:c>
      <x:c r="H4" s="18" t="str">
        <x:v>Cố định</x:v>
      </x:c>
      <x:c r="I4" s="18" t="str">
        <x:v>EBITDA</x:v>
      </x:c>
      <x:c r="J4" s="18" t="str">
        <x:v>EBITDA lũy kế</x:v>
      </x:c>
      <x:c r="K4" s="18" t="str">
        <x:v>Tiền mặt cuối tháng</x:v>
      </x:c>
      <x:c r="L4" s="18" t="str">
        <x:v>Đệm tối thiểu</x:v>
      </x:c>
      <x:c r="M4" s="18" t="str">
        <x:v>Công suất giờ-khách</x:v>
      </x:c>
    </x:row>
    <x:row r="5" ht="23" customHeight="1">
      <x:c r="A5" s="3" t="n">
        <x:v>1</x:v>
      </x:c>
      <x:c r="B5" s="56" t="n">
        <x:f>'Gia_dinh'!B47</x:f>
        <x:v>40</x:v>
      </x:c>
      <x:c r="C5" s="58" t="n">
        <x:f>0</x:f>
        <x:v>0</x:v>
      </x:c>
      <x:c r="D5" s="58" t="n">
        <x:f>MAX(0,B5-C5)</x:f>
        <x:v>40</x:v>
      </x:c>
      <x:c r="E5" s="38" t="n">
        <x:f>C5+D5*'Gia_dinh'!$C$31</x:f>
        <x:v>20</x:v>
      </x:c>
      <x:c r="F5" s="38" t="n">
        <x:f>E5*'Gia_dinh'!$C$7+'Gia_dinh'!C47</x:f>
        <x:v>37</x:v>
      </x:c>
      <x:c r="G5" s="38" t="n">
        <x:f>E5*'Gia_dinh'!$C$8*'Gia_dinh'!$C$10+'Gia_dinh'!C47*'Gia_dinh'!$C$15</x:f>
        <x:v>6.25</x:v>
      </x:c>
      <x:c r="H5" s="38" t="n">
        <x:f>'Gia_dinh'!D47+'Gia_dinh'!$C$16+'Gia_dinh'!$C$21</x:f>
        <x:v>205</x:v>
      </x:c>
      <x:c r="I5" s="36" t="n">
        <x:f>F5-G5-H5</x:f>
        <x:v>-174.25</x:v>
      </x:c>
      <x:c r="J5" s="36" t="n">
        <x:f>SUM($I$5:I5)</x:f>
        <x:v>-174.25</x:v>
      </x:c>
      <x:c r="K5" s="38" t="n">
        <x:f>'Gia_dinh'!$C$28+J5</x:f>
        <x:v>925.75</x:v>
      </x:c>
      <x:c r="L5" s="38" t="n">
        <x:f>H5*'Gia_dinh'!$C$25</x:f>
        <x:v>410</x:v>
      </x:c>
      <x:c r="M5" s="54" t="n">
        <x:f>E5*'Gia_dinh'!$C$8*'Gia_dinh'!$C$9/('Gia_dinh'!$C$5*'Gia_dinh'!$C$6*'Gia_dinh'!$C$22)</x:f>
        <x:v>0.04807692307692308</x:v>
      </x:c>
    </x:row>
    <x:row r="6" ht="23" customHeight="1">
      <x:c r="A6" s="3" t="n">
        <x:v>2</x:v>
      </x:c>
      <x:c r="B6" s="56" t="n">
        <x:f>'Gia_dinh'!B48</x:f>
        <x:v>60</x:v>
      </x:c>
      <x:c r="C6" s="56" t="n">
        <x:f>MIN(B6,ROUND(B5*(1-'Gia_dinh'!$C$24),0))</x:f>
        <x:v>38</x:v>
      </x:c>
      <x:c r="D6" s="58" t="n">
        <x:f>MAX(0,B6-C6)</x:f>
        <x:v>22</x:v>
      </x:c>
      <x:c r="E6" s="38" t="n">
        <x:f>C6+D6*'Gia_dinh'!$C$31</x:f>
        <x:v>49</x:v>
      </x:c>
      <x:c r="F6" s="38" t="n">
        <x:f>E6*'Gia_dinh'!$C$7+'Gia_dinh'!C48</x:f>
        <x:v>86.4</x:v>
      </x:c>
      <x:c r="G6" s="38" t="n">
        <x:f>E6*'Gia_dinh'!$C$8*'Gia_dinh'!$C$10+'Gia_dinh'!C48*'Gia_dinh'!$C$15</x:f>
        <x:v>13.4</x:v>
      </x:c>
      <x:c r="H6" s="38" t="n">
        <x:f>'Gia_dinh'!D48+'Gia_dinh'!$C$16+'Gia_dinh'!$C$21</x:f>
        <x:v>205</x:v>
      </x:c>
      <x:c r="I6" s="36" t="n">
        <x:f>F6-G6-H6</x:f>
        <x:v>-132</x:v>
      </x:c>
      <x:c r="J6" s="36" t="n">
        <x:f>SUM($I$5:I6)</x:f>
        <x:v>-306.25</x:v>
      </x:c>
      <x:c r="K6" s="38" t="n">
        <x:f>'Gia_dinh'!$C$28+J6</x:f>
        <x:v>793.75</x:v>
      </x:c>
      <x:c r="L6" s="38" t="n">
        <x:f>H6*'Gia_dinh'!$C$25</x:f>
        <x:v>410</x:v>
      </x:c>
      <x:c r="M6" s="54" t="n">
        <x:f>E6*'Gia_dinh'!$C$8*'Gia_dinh'!$C$9/('Gia_dinh'!$C$5*'Gia_dinh'!$C$6*'Gia_dinh'!$C$22)</x:f>
        <x:v>0.11778846153846154</x:v>
      </x:c>
    </x:row>
    <x:row r="7" ht="23" customHeight="1">
      <x:c r="A7" s="3" t="n">
        <x:v>3</x:v>
      </x:c>
      <x:c r="B7" s="56" t="n">
        <x:f>'Gia_dinh'!B49</x:f>
        <x:v>80</x:v>
      </x:c>
      <x:c r="C7" s="56" t="n">
        <x:f>MIN(B7,ROUND(B6*(1-'Gia_dinh'!$C$24),0))</x:f>
        <x:v>57</x:v>
      </x:c>
      <x:c r="D7" s="58" t="n">
        <x:f>MAX(0,B7-C7)</x:f>
        <x:v>23</x:v>
      </x:c>
      <x:c r="E7" s="38" t="n">
        <x:f>C7+D7*'Gia_dinh'!$C$31</x:f>
        <x:v>68.5</x:v>
      </x:c>
      <x:c r="F7" s="38" t="n">
        <x:f>E7*'Gia_dinh'!$C$7+'Gia_dinh'!C49</x:f>
        <x:v>119.60000000000001</x:v>
      </x:c>
      <x:c r="G7" s="38" t="n">
        <x:f>E7*'Gia_dinh'!$C$8*'Gia_dinh'!$C$10+'Gia_dinh'!C49*'Gia_dinh'!$C$15</x:f>
        <x:v>18.200000000000003</x:v>
      </x:c>
      <x:c r="H7" s="38" t="n">
        <x:f>'Gia_dinh'!D49+'Gia_dinh'!$C$16+'Gia_dinh'!$C$21</x:f>
        <x:v>205</x:v>
      </x:c>
      <x:c r="I7" s="36" t="n">
        <x:f>F7-G7-H7</x:f>
        <x:v>-103.6</x:v>
      </x:c>
      <x:c r="J7" s="36" t="n">
        <x:f>SUM($I$5:I7)</x:f>
        <x:v>-409.85</x:v>
      </x:c>
      <x:c r="K7" s="38" t="n">
        <x:f>'Gia_dinh'!$C$28+J7</x:f>
        <x:v>690.15</x:v>
      </x:c>
      <x:c r="L7" s="38" t="n">
        <x:f>H7*'Gia_dinh'!$C$25</x:f>
        <x:v>410</x:v>
      </x:c>
      <x:c r="M7" s="54" t="n">
        <x:f>E7*'Gia_dinh'!$C$8*'Gia_dinh'!$C$9/('Gia_dinh'!$C$5*'Gia_dinh'!$C$6*'Gia_dinh'!$C$22)</x:f>
        <x:v>0.16466346153846154</x:v>
      </x:c>
    </x:row>
    <x:row r="8" ht="23" customHeight="1">
      <x:c r="A8" s="3" t="n">
        <x:v>4</x:v>
      </x:c>
      <x:c r="B8" s="56" t="n">
        <x:f>'Gia_dinh'!B50</x:f>
        <x:v>100</x:v>
      </x:c>
      <x:c r="C8" s="56" t="n">
        <x:f>MIN(B8,ROUND(B7*(1-'Gia_dinh'!$C$24),0))</x:f>
        <x:v>76</x:v>
      </x:c>
      <x:c r="D8" s="58" t="n">
        <x:f>MAX(0,B8-C8)</x:f>
        <x:v>24</x:v>
      </x:c>
      <x:c r="E8" s="38" t="n">
        <x:f>C8+D8*'Gia_dinh'!$C$31</x:f>
        <x:v>88</x:v>
      </x:c>
      <x:c r="F8" s="38" t="n">
        <x:f>E8*'Gia_dinh'!$C$7+'Gia_dinh'!C50</x:f>
        <x:v>152.8</x:v>
      </x:c>
      <x:c r="G8" s="38" t="n">
        <x:f>E8*'Gia_dinh'!$C$8*'Gia_dinh'!$C$10+'Gia_dinh'!C50*'Gia_dinh'!$C$15</x:f>
        <x:v>23</x:v>
      </x:c>
      <x:c r="H8" s="38" t="n">
        <x:f>'Gia_dinh'!D50+'Gia_dinh'!$C$16+'Gia_dinh'!$C$21</x:f>
        <x:v>205</x:v>
      </x:c>
      <x:c r="I8" s="36" t="n">
        <x:f>F8-G8-H8</x:f>
        <x:v>-75.19999999999999</x:v>
      </x:c>
      <x:c r="J8" s="36" t="n">
        <x:f>SUM($I$5:I8)</x:f>
        <x:v>-485.05</x:v>
      </x:c>
      <x:c r="K8" s="38" t="n">
        <x:f>'Gia_dinh'!$C$28+J8</x:f>
        <x:v>614.95</x:v>
      </x:c>
      <x:c r="L8" s="38" t="n">
        <x:f>H8*'Gia_dinh'!$C$25</x:f>
        <x:v>410</x:v>
      </x:c>
      <x:c r="M8" s="54" t="n">
        <x:f>E8*'Gia_dinh'!$C$8*'Gia_dinh'!$C$9/('Gia_dinh'!$C$5*'Gia_dinh'!$C$6*'Gia_dinh'!$C$22)</x:f>
        <x:v>0.21153846153846154</x:v>
      </x:c>
    </x:row>
    <x:row r="9" ht="23" customHeight="1">
      <x:c r="A9" s="3" t="n">
        <x:v>5</x:v>
      </x:c>
      <x:c r="B9" s="56" t="n">
        <x:f>'Gia_dinh'!B51</x:f>
        <x:v>120</x:v>
      </x:c>
      <x:c r="C9" s="56" t="n">
        <x:f>MIN(B9,ROUND(B8*(1-'Gia_dinh'!$C$24),0))</x:f>
        <x:v>95</x:v>
      </x:c>
      <x:c r="D9" s="58" t="n">
        <x:f>MAX(0,B9-C9)</x:f>
        <x:v>25</x:v>
      </x:c>
      <x:c r="E9" s="38" t="n">
        <x:f>C9+D9*'Gia_dinh'!$C$31</x:f>
        <x:v>107.5</x:v>
      </x:c>
      <x:c r="F9" s="38" t="n">
        <x:f>E9*'Gia_dinh'!$C$7+'Gia_dinh'!C51</x:f>
        <x:v>187</x:v>
      </x:c>
      <x:c r="G9" s="38" t="n">
        <x:f>E9*'Gia_dinh'!$C$8*'Gia_dinh'!$C$10+'Gia_dinh'!C51*'Gia_dinh'!$C$15</x:f>
        <x:v>28.25</x:v>
      </x:c>
      <x:c r="H9" s="38" t="n">
        <x:f>'Gia_dinh'!D51+'Gia_dinh'!$C$16+'Gia_dinh'!$C$21</x:f>
        <x:v>220</x:v>
      </x:c>
      <x:c r="I9" s="36" t="n">
        <x:f>F9-G9-H9</x:f>
        <x:v>-61.25</x:v>
      </x:c>
      <x:c r="J9" s="36" t="n">
        <x:f>SUM($I$5:I9)</x:f>
        <x:v>-546.3</x:v>
      </x:c>
      <x:c r="K9" s="38" t="n">
        <x:f>'Gia_dinh'!$C$28+J9</x:f>
        <x:v>553.7</x:v>
      </x:c>
      <x:c r="L9" s="38" t="n">
        <x:f>H9*'Gia_dinh'!$C$25</x:f>
        <x:v>440</x:v>
      </x:c>
      <x:c r="M9" s="54" t="n">
        <x:f>E9*'Gia_dinh'!$C$8*'Gia_dinh'!$C$9/('Gia_dinh'!$C$5*'Gia_dinh'!$C$6*'Gia_dinh'!$C$22)</x:f>
        <x:v>0.25841346153846156</x:v>
      </x:c>
    </x:row>
    <x:row r="10" ht="23" customHeight="1">
      <x:c r="A10" s="3" t="n">
        <x:v>6</x:v>
      </x:c>
      <x:c r="B10" s="56" t="n">
        <x:f>'Gia_dinh'!B52</x:f>
        <x:v>140</x:v>
      </x:c>
      <x:c r="C10" s="56" t="n">
        <x:f>MIN(B10,ROUND(B9*(1-'Gia_dinh'!$C$24),0))</x:f>
        <x:v>114</x:v>
      </x:c>
      <x:c r="D10" s="58" t="n">
        <x:f>MAX(0,B10-C10)</x:f>
        <x:v>26</x:v>
      </x:c>
      <x:c r="E10" s="38" t="n">
        <x:f>C10+D10*'Gia_dinh'!$C$31</x:f>
        <x:v>127</x:v>
      </x:c>
      <x:c r="F10" s="38" t="n">
        <x:f>E10*'Gia_dinh'!$C$7+'Gia_dinh'!C52</x:f>
        <x:v>220.20000000000002</x:v>
      </x:c>
      <x:c r="G10" s="38" t="n">
        <x:f>E10*'Gia_dinh'!$C$8*'Gia_dinh'!$C$10+'Gia_dinh'!C52*'Gia_dinh'!$C$15</x:f>
        <x:v>33.050000000000004</x:v>
      </x:c>
      <x:c r="H10" s="38" t="n">
        <x:f>'Gia_dinh'!D52+'Gia_dinh'!$C$16+'Gia_dinh'!$C$21</x:f>
        <x:v>220</x:v>
      </x:c>
      <x:c r="I10" s="36" t="n">
        <x:f>F10-G10-H10</x:f>
        <x:v>-32.849999999999994</x:v>
      </x:c>
      <x:c r="J10" s="36" t="n">
        <x:f>SUM($I$5:I10)</x:f>
        <x:v>-579.15</x:v>
      </x:c>
      <x:c r="K10" s="38" t="n">
        <x:f>'Gia_dinh'!$C$28+J10</x:f>
        <x:v>520.85</x:v>
      </x:c>
      <x:c r="L10" s="38" t="n">
        <x:f>H10*'Gia_dinh'!$C$25</x:f>
        <x:v>440</x:v>
      </x:c>
      <x:c r="M10" s="54" t="n">
        <x:f>E10*'Gia_dinh'!$C$8*'Gia_dinh'!$C$9/('Gia_dinh'!$C$5*'Gia_dinh'!$C$6*'Gia_dinh'!$C$22)</x:f>
        <x:v>0.30528846153846156</x:v>
      </x:c>
    </x:row>
    <x:row r="11" ht="23" customHeight="1">
      <x:c r="A11" s="3" t="n">
        <x:v>7</x:v>
      </x:c>
      <x:c r="B11" s="56" t="n">
        <x:f>'Gia_dinh'!B53</x:f>
        <x:v>150</x:v>
      </x:c>
      <x:c r="C11" s="56" t="n">
        <x:f>MIN(B11,ROUND(B10*(1-'Gia_dinh'!$C$24),0))</x:f>
        <x:v>133</x:v>
      </x:c>
      <x:c r="D11" s="58" t="n">
        <x:f>MAX(0,B11-C11)</x:f>
        <x:v>17</x:v>
      </x:c>
      <x:c r="E11" s="38" t="n">
        <x:f>C11+D11*'Gia_dinh'!$C$31</x:f>
        <x:v>141.5</x:v>
      </x:c>
      <x:c r="F11" s="38" t="n">
        <x:f>E11*'Gia_dinh'!$C$7+'Gia_dinh'!C53</x:f>
        <x:v>244.4</x:v>
      </x:c>
      <x:c r="G11" s="38" t="n">
        <x:f>E11*'Gia_dinh'!$C$8*'Gia_dinh'!$C$10+'Gia_dinh'!C53*'Gia_dinh'!$C$15</x:f>
        <x:v>36.4</x:v>
      </x:c>
      <x:c r="H11" s="38" t="n">
        <x:f>'Gia_dinh'!D53+'Gia_dinh'!$C$16+'Gia_dinh'!$C$21</x:f>
        <x:v>220</x:v>
      </x:c>
      <x:c r="I11" s="36" t="n">
        <x:f>F11-G11-H11</x:f>
        <x:v>-12</x:v>
      </x:c>
      <x:c r="J11" s="36" t="n">
        <x:f>SUM($I$5:I11)</x:f>
        <x:v>-591.15</x:v>
      </x:c>
      <x:c r="K11" s="38" t="n">
        <x:f>'Gia_dinh'!$C$28+J11</x:f>
        <x:v>508.85</x:v>
      </x:c>
      <x:c r="L11" s="38" t="n">
        <x:f>H11*'Gia_dinh'!$C$25</x:f>
        <x:v>440</x:v>
      </x:c>
      <x:c r="M11" s="54" t="n">
        <x:f>E11*'Gia_dinh'!$C$8*'Gia_dinh'!$C$9/('Gia_dinh'!$C$5*'Gia_dinh'!$C$6*'Gia_dinh'!$C$22)</x:f>
        <x:v>0.3401442307692308</x:v>
      </x:c>
    </x:row>
    <x:row r="12" ht="23" customHeight="1">
      <x:c r="A12" s="3" t="n">
        <x:v>8</x:v>
      </x:c>
      <x:c r="B12" s="56" t="n">
        <x:f>'Gia_dinh'!B54</x:f>
        <x:v>160</x:v>
      </x:c>
      <x:c r="C12" s="56" t="n">
        <x:f>MIN(B12,ROUND(B11*(1-'Gia_dinh'!$C$24),0))</x:f>
        <x:v>143</x:v>
      </x:c>
      <x:c r="D12" s="58" t="n">
        <x:f>MAX(0,B12-C12)</x:f>
        <x:v>17</x:v>
      </x:c>
      <x:c r="E12" s="38" t="n">
        <x:f>C12+D12*'Gia_dinh'!$C$31</x:f>
        <x:v>151.5</x:v>
      </x:c>
      <x:c r="F12" s="38" t="n">
        <x:f>E12*'Gia_dinh'!$C$7+'Gia_dinh'!C54</x:f>
        <x:v>262.4</x:v>
      </x:c>
      <x:c r="G12" s="38" t="n">
        <x:f>E12*'Gia_dinh'!$C$8*'Gia_dinh'!$C$10+'Gia_dinh'!C54*'Gia_dinh'!$C$15</x:f>
        <x:v>39.3</x:v>
      </x:c>
      <x:c r="H12" s="38" t="n">
        <x:f>'Gia_dinh'!D54+'Gia_dinh'!$C$16+'Gia_dinh'!$C$21</x:f>
        <x:v>220</x:v>
      </x:c>
      <x:c r="I12" s="36" t="n">
        <x:f>F12-G12-H12</x:f>
        <x:v>3.099999999999966</x:v>
      </x:c>
      <x:c r="J12" s="36" t="n">
        <x:f>SUM($I$5:I12)</x:f>
        <x:v>-588.05</x:v>
      </x:c>
      <x:c r="K12" s="38" t="n">
        <x:f>'Gia_dinh'!$C$28+J12</x:f>
        <x:v>511.95000000000005</x:v>
      </x:c>
      <x:c r="L12" s="38" t="n">
        <x:f>H12*'Gia_dinh'!$C$25</x:f>
        <x:v>440</x:v>
      </x:c>
      <x:c r="M12" s="54" t="n">
        <x:f>E12*'Gia_dinh'!$C$8*'Gia_dinh'!$C$9/('Gia_dinh'!$C$5*'Gia_dinh'!$C$6*'Gia_dinh'!$C$22)</x:f>
        <x:v>0.3641826923076923</x:v>
      </x:c>
    </x:row>
    <x:row r="13" ht="23" customHeight="1">
      <x:c r="A13" s="3" t="n">
        <x:v>9</x:v>
      </x:c>
      <x:c r="B13" s="56" t="n">
        <x:f>'Gia_dinh'!B55</x:f>
        <x:v>170</x:v>
      </x:c>
      <x:c r="C13" s="56" t="n">
        <x:f>MIN(B13,ROUND(B12*(1-'Gia_dinh'!$C$24),0))</x:f>
        <x:v>152</x:v>
      </x:c>
      <x:c r="D13" s="58" t="n">
        <x:f>MAX(0,B13-C13)</x:f>
        <x:v>18</x:v>
      </x:c>
      <x:c r="E13" s="38" t="n">
        <x:f>C13+D13*'Gia_dinh'!$C$31</x:f>
        <x:v>161</x:v>
      </x:c>
      <x:c r="F13" s="38" t="n">
        <x:f>E13*'Gia_dinh'!$C$7+'Gia_dinh'!C55</x:f>
        <x:v>279.6</x:v>
      </x:c>
      <x:c r="G13" s="38" t="n">
        <x:f>E13*'Gia_dinh'!$C$8*'Gia_dinh'!$C$10+'Gia_dinh'!C55*'Gia_dinh'!$C$15</x:f>
        <x:v>42.1</x:v>
      </x:c>
      <x:c r="H13" s="38" t="n">
        <x:f>'Gia_dinh'!D55+'Gia_dinh'!$C$16+'Gia_dinh'!$C$21</x:f>
        <x:v>220</x:v>
      </x:c>
      <x:c r="I13" s="36" t="n">
        <x:f>F13-G13-H13</x:f>
        <x:v>17.50000000000003</x:v>
      </x:c>
      <x:c r="J13" s="36" t="n">
        <x:f>SUM($I$5:I13)</x:f>
        <x:v>-570.55</x:v>
      </x:c>
      <x:c r="K13" s="38" t="n">
        <x:f>'Gia_dinh'!$C$28+J13</x:f>
        <x:v>529.45</x:v>
      </x:c>
      <x:c r="L13" s="38" t="n">
        <x:f>H13*'Gia_dinh'!$C$25</x:f>
        <x:v>440</x:v>
      </x:c>
      <x:c r="M13" s="54" t="n">
        <x:f>E13*'Gia_dinh'!$C$8*'Gia_dinh'!$C$9/('Gia_dinh'!$C$5*'Gia_dinh'!$C$6*'Gia_dinh'!$C$22)</x:f>
        <x:v>0.3870192307692308</x:v>
      </x:c>
    </x:row>
    <x:row r="14" ht="23" customHeight="1">
      <x:c r="A14" s="3" t="n">
        <x:v>10</x:v>
      </x:c>
      <x:c r="B14" s="56" t="n">
        <x:f>'Gia_dinh'!B56</x:f>
        <x:v>180</x:v>
      </x:c>
      <x:c r="C14" s="56" t="n">
        <x:f>MIN(B14,ROUND(B13*(1-'Gia_dinh'!$C$24),0))</x:f>
        <x:v>162</x:v>
      </x:c>
      <x:c r="D14" s="58" t="n">
        <x:f>MAX(0,B14-C14)</x:f>
        <x:v>18</x:v>
      </x:c>
      <x:c r="E14" s="38" t="n">
        <x:f>C14+D14*'Gia_dinh'!$C$31</x:f>
        <x:v>171</x:v>
      </x:c>
      <x:c r="F14" s="38" t="n">
        <x:f>E14*'Gia_dinh'!$C$7+'Gia_dinh'!C56</x:f>
        <x:v>298.6</x:v>
      </x:c>
      <x:c r="G14" s="38" t="n">
        <x:f>E14*'Gia_dinh'!$C$8*'Gia_dinh'!$C$10+'Gia_dinh'!C56*'Gia_dinh'!$C$15</x:f>
        <x:v>45.45</x:v>
      </x:c>
      <x:c r="H14" s="38" t="n">
        <x:f>'Gia_dinh'!D56+'Gia_dinh'!$C$16+'Gia_dinh'!$C$21</x:f>
        <x:v>235</x:v>
      </x:c>
      <x:c r="I14" s="36" t="n">
        <x:f>F14-G14-H14</x:f>
        <x:v>18.150000000000034</x:v>
      </x:c>
      <x:c r="J14" s="36" t="n">
        <x:f>SUM($I$5:I14)</x:f>
        <x:v>-552.3999999999999</x:v>
      </x:c>
      <x:c r="K14" s="38" t="n">
        <x:f>'Gia_dinh'!$C$28+J14</x:f>
        <x:v>547.6000000000001</x:v>
      </x:c>
      <x:c r="L14" s="38" t="n">
        <x:f>H14*'Gia_dinh'!$C$25</x:f>
        <x:v>470</x:v>
      </x:c>
      <x:c r="M14" s="54" t="n">
        <x:f>E14*'Gia_dinh'!$C$8*'Gia_dinh'!$C$9/('Gia_dinh'!$C$5*'Gia_dinh'!$C$6*'Gia_dinh'!$C$22)</x:f>
        <x:v>0.4110576923076923</x:v>
      </x:c>
    </x:row>
    <x:row r="15" ht="23" customHeight="1">
      <x:c r="A15" s="3" t="n">
        <x:v>11</x:v>
      </x:c>
      <x:c r="B15" s="56" t="n">
        <x:f>'Gia_dinh'!B57</x:f>
        <x:v>190</x:v>
      </x:c>
      <x:c r="C15" s="56" t="n">
        <x:f>MIN(B15,ROUND(B14*(1-'Gia_dinh'!$C$24),0))</x:f>
        <x:v>171</x:v>
      </x:c>
      <x:c r="D15" s="58" t="n">
        <x:f>MAX(0,B15-C15)</x:f>
        <x:v>19</x:v>
      </x:c>
      <x:c r="E15" s="38" t="n">
        <x:f>C15+D15*'Gia_dinh'!$C$31</x:f>
        <x:v>180.5</x:v>
      </x:c>
      <x:c r="F15" s="38" t="n">
        <x:f>E15*'Gia_dinh'!$C$7+'Gia_dinh'!C57</x:f>
        <x:v>316.8</x:v>
      </x:c>
      <x:c r="G15" s="38" t="n">
        <x:f>E15*'Gia_dinh'!$C$8*'Gia_dinh'!$C$10+'Gia_dinh'!C57*'Gia_dinh'!$C$15</x:f>
        <x:v>48.7</x:v>
      </x:c>
      <x:c r="H15" s="38" t="n">
        <x:f>'Gia_dinh'!D57+'Gia_dinh'!$C$16+'Gia_dinh'!$C$21</x:f>
        <x:v>235</x:v>
      </x:c>
      <x:c r="I15" s="36" t="n">
        <x:f>F15-G15-H15</x:f>
        <x:v>33.10000000000002</x:v>
      </x:c>
      <x:c r="J15" s="36" t="n">
        <x:f>SUM($I$5:I15)</x:f>
        <x:v>-519.2999999999998</x:v>
      </x:c>
      <x:c r="K15" s="38" t="n">
        <x:f>'Gia_dinh'!$C$28+J15</x:f>
        <x:v>580.7000000000002</x:v>
      </x:c>
      <x:c r="L15" s="38" t="n">
        <x:f>H15*'Gia_dinh'!$C$25</x:f>
        <x:v>470</x:v>
      </x:c>
      <x:c r="M15" s="54" t="n">
        <x:f>E15*'Gia_dinh'!$C$8*'Gia_dinh'!$C$9/('Gia_dinh'!$C$5*'Gia_dinh'!$C$6*'Gia_dinh'!$C$22)</x:f>
        <x:v>0.4338942307692308</x:v>
      </x:c>
    </x:row>
    <x:row r="16" ht="23" customHeight="1">
      <x:c r="A16" s="3" t="n">
        <x:v>12</x:v>
      </x:c>
      <x:c r="B16" s="56" t="n">
        <x:f>'Gia_dinh'!B58</x:f>
        <x:v>200</x:v>
      </x:c>
      <x:c r="C16" s="56" t="n">
        <x:f>MIN(B16,ROUND(B15*(1-'Gia_dinh'!$C$24),0))</x:f>
        <x:v>181</x:v>
      </x:c>
      <x:c r="D16" s="58" t="n">
        <x:f>MAX(0,B16-C16)</x:f>
        <x:v>19</x:v>
      </x:c>
      <x:c r="E16" s="38" t="n">
        <x:f>C16+D16*'Gia_dinh'!$C$31</x:f>
        <x:v>190.5</x:v>
      </x:c>
      <x:c r="F16" s="38" t="n">
        <x:f>E16*'Gia_dinh'!$C$7+'Gia_dinh'!C58</x:f>
        <x:v>334.8</x:v>
      </x:c>
      <x:c r="G16" s="38" t="n">
        <x:f>E16*'Gia_dinh'!$C$8*'Gia_dinh'!$C$10+'Gia_dinh'!C58*'Gia_dinh'!$C$15</x:f>
        <x:v>51.6</x:v>
      </x:c>
      <x:c r="H16" s="38" t="n">
        <x:f>'Gia_dinh'!D58+'Gia_dinh'!$C$16+'Gia_dinh'!$C$21</x:f>
        <x:v>235</x:v>
      </x:c>
      <x:c r="I16" s="36" t="n">
        <x:f>F16-G16-H16</x:f>
        <x:v>48.19999999999999</x:v>
      </x:c>
      <x:c r="J16" s="36" t="n">
        <x:f>SUM($I$5:I16)</x:f>
        <x:v>-471.09999999999985</x:v>
      </x:c>
      <x:c r="K16" s="38" t="n">
        <x:f>'Gia_dinh'!$C$28+J16</x:f>
        <x:v>628.9000000000001</x:v>
      </x:c>
      <x:c r="L16" s="38" t="n">
        <x:f>H16*'Gia_dinh'!$C$25</x:f>
        <x:v>470</x:v>
      </x:c>
      <x:c r="M16" s="54" t="n">
        <x:f>E16*'Gia_dinh'!$C$8*'Gia_dinh'!$C$9/('Gia_dinh'!$C$5*'Gia_dinh'!$C$6*'Gia_dinh'!$C$22)</x:f>
        <x:v>0.4579326923076923</x:v>
      </x:c>
    </x:row>
    <x:row r="17" ht="23" customHeight="1">
      <x:c r="A17" s="3"/>
      <x:c r="B17" s="3"/>
      <x:c r="C17" s="3"/>
      <x:c r="D17" s="3"/>
      <x:c r="E17" s="3"/>
      <x:c r="F17" s="3"/>
      <x:c r="G17" s="3"/>
      <x:c r="H17" s="3"/>
      <x:c r="I17" s="3"/>
      <x:c r="J17" s="3"/>
      <x:c r="K17" s="3"/>
      <x:c r="L17" s="3"/>
      <x:c r="M17" s="3"/>
    </x:row>
    <x:row r="18" ht="32" customHeight="1">
      <x:c r="A18" s="80" t="str">
        <x:v>Cả năm</x:v>
      </x:c>
      <x:c r="B18" s="82" t="n">
        <x:f>B16</x:f>
        <x:v>200</x:v>
      </x:c>
      <x:c r="C18" s="82"/>
      <x:c r="D18" s="82" t="n">
        <x:f>SUM(D5:D16)</x:f>
        <x:v>268</x:v>
      </x:c>
      <x:c r="E18" s="45" t="n">
        <x:f>AVERAGE(E5:E16)</x:f>
        <x:v>121.33333333333333</x:v>
      </x:c>
      <x:c r="F18" s="45" t="n">
        <x:f>SUM(F5:F16)</x:f>
        <x:v>2539.6000000000004</x:v>
      </x:c>
      <x:c r="G18" s="45" t="n">
        <x:f>SUM(G5:G16)</x:f>
        <x:v>385.70000000000005</x:v>
      </x:c>
      <x:c r="H18" s="45" t="n">
        <x:f>SUM(H5:H16)</x:f>
        <x:v>2625</x:v>
      </x:c>
      <x:c r="I18" s="45" t="n">
        <x:f>SUM(I5:I16)</x:f>
        <x:v>-471.09999999999985</x:v>
      </x:c>
      <x:c r="J18" s="45" t="n">
        <x:f>J16</x:f>
        <x:v>-471.09999999999985</x:v>
      </x:c>
      <x:c r="K18" s="45" t="n">
        <x:f>K16</x:f>
        <x:v>628.9000000000001</x:v>
      </x:c>
      <x:c r="L18" s="45" t="n">
        <x:f>L16</x:f>
        <x:v>470</x:v>
      </x:c>
      <x:c r="M18" s="84" t="n">
        <x:f>AVERAGE(M5:M16)</x:f>
        <x:v>0.2916666666666667</x:v>
      </x:c>
    </x:row>
    <x:row r="19" ht="23" customHeight="1">
      <x:c r="A19" s="3"/>
      <x:c r="B19" s="3"/>
      <x:c r="C19" s="3"/>
      <x:c r="D19" s="3"/>
      <x:c r="E19" s="3"/>
      <x:c r="F19" s="3"/>
      <x:c r="G19" s="3"/>
      <x:c r="H19" s="3"/>
      <x:c r="I19" s="3"/>
      <x:c r="J19" s="3"/>
      <x:c r="K19" s="3"/>
      <x:c r="L19" s="3"/>
      <x:c r="M19" s="3"/>
    </x:row>
    <x:row r="20" ht="23" customHeight="1">
      <x:c r="A20" s="3"/>
      <x:c r="B20" s="3"/>
      <x:c r="C20" s="3"/>
      <x:c r="D20" s="3"/>
      <x:c r="E20" s="3"/>
      <x:c r="F20" s="3"/>
      <x:c r="G20" s="3"/>
      <x:c r="H20" s="3"/>
      <x:c r="I20" s="3"/>
      <x:c r="J20" s="3"/>
      <x:c r="K20" s="3"/>
      <x:c r="L20" s="3"/>
      <x:c r="M20" s="3"/>
    </x:row>
    <x:row r="21" ht="26" customHeight="1">
      <x:c r="A21" s="62" t="str">
        <x:v>Tiền mặt cuối tháng = vốn lưu động ban đầu + EBITDA lũy kế. Mô hình chưa tách tiền thu trước, VAT, công nợ, bảo trì thay thế, lãi vay, thuế, CAPEX bổ sung hay tiền phân phối. Thành viên mới cần có đã bù giả định 5% không gia hạn mỗi tháng. Cần 12 tháng dữ liệu thật để kiểm chứng mùa vụ.</x:v>
      </x:c>
      <x:c r="B21" s="62"/>
      <x:c r="C21" s="62"/>
      <x:c r="D21" s="62"/>
      <x:c r="E21" s="62"/>
      <x:c r="F21" s="62"/>
      <x:c r="G21" s="62"/>
      <x:c r="H21" s="62"/>
      <x:c r="I21" s="62"/>
      <x:c r="J21" s="62"/>
      <x:c r="K21" s="62"/>
      <x:c r="L21" s="62"/>
      <x:c r="M21" s="62"/>
    </x:row>
    <x:row r="22" ht="26" customHeight="1">
      <x:c r="A22" s="62"/>
      <x:c r="B22" s="62"/>
      <x:c r="C22" s="62"/>
      <x:c r="D22" s="62"/>
      <x:c r="E22" s="62"/>
      <x:c r="F22" s="62"/>
      <x:c r="G22" s="62"/>
      <x:c r="H22" s="62"/>
      <x:c r="I22" s="62"/>
      <x:c r="J22" s="62"/>
      <x:c r="K22" s="62"/>
      <x:c r="L22" s="62"/>
      <x:c r="M22" s="62"/>
    </x:row>
    <x:row r="23" ht="26" customHeight="1">
      <x:c r="A23" s="62"/>
      <x:c r="B23" s="62"/>
      <x:c r="C23" s="62"/>
      <x:c r="D23" s="62"/>
      <x:c r="E23" s="62"/>
      <x:c r="F23" s="62"/>
      <x:c r="G23" s="62"/>
      <x:c r="H23" s="62"/>
      <x:c r="I23" s="62"/>
      <x:c r="J23" s="62"/>
      <x:c r="K23" s="62"/>
      <x:c r="L23" s="62"/>
      <x:c r="M23" s="62"/>
    </x:row>
    <x:row r="24" ht="23" customHeight="1">
      <x:c r="A24" s="3"/>
      <x:c r="B24" s="3"/>
      <x:c r="C24" s="3"/>
      <x:c r="D24" s="3"/>
      <x:c r="E24" s="3"/>
      <x:c r="F24" s="3"/>
      <x:c r="G24" s="3"/>
      <x:c r="H24" s="3"/>
      <x:c r="I24" s="3"/>
      <x:c r="J24" s="3"/>
      <x:c r="K24" s="3"/>
      <x:c r="L24" s="3"/>
      <x:c r="M24" s="3"/>
    </x:row>
    <x:row r="25" ht="23" customHeight="1">
      <x:c r="A25" s="3"/>
      <x:c r="B25" s="3"/>
      <x:c r="C25" s="3"/>
      <x:c r="D25" s="3"/>
      <x:c r="E25" s="3"/>
      <x:c r="F25" s="3"/>
      <x:c r="G25" s="3"/>
      <x:c r="H25" s="3"/>
      <x:c r="I25" s="3"/>
      <x:c r="J25" s="3"/>
      <x:c r="K25" s="3"/>
      <x:c r="L25" s="3"/>
      <x:c r="M25" s="3"/>
    </x:row>
    <x:row r="26" ht="23" customHeight="1">
      <x:c r="A26" s="3"/>
      <x:c r="B26" s="3"/>
      <x:c r="C26" s="3"/>
      <x:c r="D26" s="3"/>
      <x:c r="E26" s="3"/>
      <x:c r="F26" s="3"/>
      <x:c r="G26" s="3"/>
      <x:c r="H26" s="3"/>
      <x:c r="I26" s="3"/>
      <x:c r="J26" s="3"/>
      <x:c r="K26" s="3"/>
      <x:c r="L26" s="3"/>
      <x:c r="M26" s="3"/>
    </x:row>
    <x:row r="27" ht="23" customHeight="1">
      <x:c r="A27" s="3"/>
      <x:c r="B27" s="3"/>
      <x:c r="C27" s="3"/>
      <x:c r="D27" s="3"/>
      <x:c r="E27" s="3"/>
      <x:c r="F27" s="3"/>
      <x:c r="G27" s="3"/>
      <x:c r="H27" s="3"/>
      <x:c r="I27" s="3"/>
      <x:c r="J27" s="3"/>
      <x:c r="K27" s="3"/>
      <x:c r="L27" s="3"/>
      <x:c r="M27" s="3"/>
    </x:row>
    <x:row r="28" ht="23" customHeight="1">
      <x:c r="A28" s="3"/>
      <x:c r="B28" s="3"/>
      <x:c r="C28" s="3"/>
      <x:c r="D28" s="3"/>
      <x:c r="E28" s="3"/>
      <x:c r="F28" s="3"/>
      <x:c r="G28" s="3"/>
      <x:c r="H28" s="3"/>
      <x:c r="I28" s="3"/>
      <x:c r="J28" s="3"/>
      <x:c r="K28" s="3"/>
      <x:c r="L28" s="3"/>
      <x:c r="M28" s="3"/>
    </x:row>
    <x:row r="29" ht="23" customHeight="1">
      <x:c r="A29" s="3"/>
      <x:c r="B29" s="3"/>
      <x:c r="C29" s="3"/>
      <x:c r="D29" s="3"/>
      <x:c r="E29" s="3"/>
      <x:c r="F29" s="3"/>
      <x:c r="G29" s="3"/>
      <x:c r="H29" s="3"/>
      <x:c r="I29" s="3"/>
      <x:c r="J29" s="3"/>
      <x:c r="K29" s="3"/>
      <x:c r="L29" s="3"/>
      <x:c r="M29" s="3"/>
    </x:row>
    <x:row r="30" ht="23" customHeight="1">
      <x:c r="A30" s="3"/>
      <x:c r="B30" s="3"/>
      <x:c r="C30" s="3"/>
      <x:c r="D30" s="3"/>
      <x:c r="E30" s="3"/>
      <x:c r="F30" s="3"/>
      <x:c r="G30" s="3"/>
      <x:c r="H30" s="3"/>
      <x:c r="I30" s="3"/>
      <x:c r="J30" s="3"/>
      <x:c r="K30" s="3"/>
      <x:c r="L30" s="3"/>
      <x:c r="M30" s="3"/>
    </x:row>
    <x:row r="31" ht="23" customHeight="1">
      <x:c r="A31" s="3"/>
      <x:c r="B31" s="3"/>
      <x:c r="C31" s="3"/>
      <x:c r="D31" s="3"/>
      <x:c r="E31" s="3"/>
      <x:c r="F31" s="3"/>
      <x:c r="G31" s="3"/>
      <x:c r="H31" s="3"/>
      <x:c r="I31" s="3"/>
      <x:c r="J31" s="3"/>
      <x:c r="K31" s="3"/>
      <x:c r="L31" s="3"/>
      <x:c r="M31" s="3"/>
    </x:row>
    <x:row r="32" ht="23" customHeight="1">
      <x:c r="A32" s="3"/>
      <x:c r="B32" s="3"/>
      <x:c r="C32" s="3"/>
      <x:c r="D32" s="3"/>
      <x:c r="E32" s="3"/>
      <x:c r="F32" s="3"/>
      <x:c r="G32" s="3"/>
      <x:c r="H32" s="3"/>
      <x:c r="I32" s="3"/>
      <x:c r="J32" s="3"/>
      <x:c r="K32" s="3"/>
      <x:c r="L32" s="3"/>
      <x:c r="M32" s="3"/>
    </x:row>
    <x:row r="33" ht="23" customHeight="1">
      <x:c r="A33" s="3"/>
      <x:c r="B33" s="3"/>
      <x:c r="C33" s="3"/>
      <x:c r="D33" s="3"/>
      <x:c r="E33" s="3"/>
      <x:c r="F33" s="3"/>
      <x:c r="G33" s="3"/>
      <x:c r="H33" s="3"/>
      <x:c r="I33" s="3"/>
      <x:c r="J33" s="3"/>
      <x:c r="K33" s="3"/>
      <x:c r="L33" s="3"/>
      <x:c r="M33" s="3"/>
    </x:row>
    <x:row r="34" ht="23" customHeight="1">
      <x:c r="A34" s="3"/>
      <x:c r="B34" s="3"/>
      <x:c r="C34" s="3"/>
      <x:c r="D34" s="3"/>
      <x:c r="E34" s="3"/>
      <x:c r="F34" s="3"/>
      <x:c r="G34" s="3"/>
      <x:c r="H34" s="3"/>
      <x:c r="I34" s="3"/>
      <x:c r="J34" s="3"/>
      <x:c r="K34" s="3"/>
      <x:c r="L34" s="3"/>
      <x:c r="M34" s="3"/>
    </x:row>
    <x:row r="35" ht="23" customHeight="1">
      <x:c r="A35" s="3"/>
      <x:c r="B35" s="3"/>
      <x:c r="C35" s="3"/>
      <x:c r="D35" s="3"/>
      <x:c r="E35" s="3"/>
      <x:c r="F35" s="3"/>
      <x:c r="G35" s="3"/>
      <x:c r="H35" s="3"/>
      <x:c r="I35" s="3"/>
      <x:c r="J35" s="3"/>
      <x:c r="K35" s="3"/>
      <x:c r="L35" s="3"/>
      <x:c r="M35" s="3"/>
    </x:row>
    <x:row r="36" ht="23" customHeight="1">
      <x:c r="A36" s="3"/>
      <x:c r="B36" s="3"/>
      <x:c r="C36" s="3"/>
      <x:c r="D36" s="3"/>
      <x:c r="E36" s="3"/>
      <x:c r="F36" s="3"/>
      <x:c r="G36" s="3"/>
      <x:c r="H36" s="3"/>
      <x:c r="I36" s="3"/>
      <x:c r="J36" s="3"/>
      <x:c r="K36" s="3"/>
      <x:c r="L36" s="3"/>
      <x:c r="M36" s="3"/>
    </x:row>
    <x:row r="37" ht="23" customHeight="1">
      <x:c r="A37" s="3"/>
      <x:c r="B37" s="3"/>
      <x:c r="C37" s="3"/>
      <x:c r="D37" s="3"/>
      <x:c r="E37" s="3"/>
      <x:c r="F37" s="3"/>
      <x:c r="G37" s="3"/>
      <x:c r="H37" s="3"/>
      <x:c r="I37" s="3"/>
      <x:c r="J37" s="3"/>
      <x:c r="K37" s="3"/>
      <x:c r="L37" s="3"/>
      <x:c r="M37" s="3"/>
    </x:row>
    <x:row r="38" ht="23" customHeight="1">
      <x:c r="A38" s="3"/>
      <x:c r="B38" s="3"/>
      <x:c r="C38" s="3"/>
      <x:c r="D38" s="3"/>
      <x:c r="E38" s="3"/>
      <x:c r="F38" s="3"/>
      <x:c r="G38" s="3"/>
      <x:c r="H38" s="3"/>
      <x:c r="I38" s="3"/>
      <x:c r="J38" s="3"/>
      <x:c r="K38" s="3"/>
      <x:c r="L38" s="3"/>
      <x:c r="M38" s="3"/>
    </x:row>
    <x:row r="39" ht="23" customHeight="1">
      <x:c r="A39" s="3"/>
      <x:c r="B39" s="3"/>
      <x:c r="C39" s="3"/>
      <x:c r="D39" s="3"/>
      <x:c r="E39" s="3"/>
      <x:c r="F39" s="3"/>
      <x:c r="G39" s="3"/>
      <x:c r="H39" s="3"/>
      <x:c r="I39" s="3"/>
      <x:c r="J39" s="3"/>
      <x:c r="K39" s="3"/>
      <x:c r="L39" s="3"/>
      <x:c r="M39" s="3"/>
    </x:row>
    <x:row r="40" ht="23" customHeight="1">
      <x:c r="A40" s="3"/>
      <x:c r="B40" s="3"/>
      <x:c r="C40" s="3"/>
      <x:c r="D40" s="3"/>
      <x:c r="E40" s="3"/>
      <x:c r="F40" s="3"/>
      <x:c r="G40" s="3"/>
      <x:c r="H40" s="3"/>
      <x:c r="I40" s="3"/>
      <x:c r="J40" s="3"/>
      <x:c r="K40" s="3"/>
      <x:c r="L40" s="3"/>
      <x:c r="M40" s="3"/>
    </x:row>
    <x:row r="41" ht="23" customHeight="1">
      <x:c r="A41" s="3"/>
      <x:c r="B41" s="3"/>
      <x:c r="C41" s="3"/>
      <x:c r="D41" s="3"/>
      <x:c r="E41" s="3"/>
      <x:c r="F41" s="3"/>
      <x:c r="G41" s="3"/>
      <x:c r="H41" s="3"/>
      <x:c r="I41" s="3"/>
      <x:c r="J41" s="3"/>
      <x:c r="K41" s="3"/>
      <x:c r="L41" s="3"/>
      <x:c r="M41" s="3"/>
    </x:row>
    <x:row r="42" ht="23" customHeight="1">
      <x:c r="A42" s="3"/>
      <x:c r="B42" s="3"/>
      <x:c r="C42" s="3"/>
      <x:c r="D42" s="3"/>
      <x:c r="E42" s="3"/>
      <x:c r="F42" s="3"/>
      <x:c r="G42" s="3"/>
      <x:c r="H42" s="3"/>
      <x:c r="I42" s="3"/>
      <x:c r="J42" s="3"/>
      <x:c r="K42" s="3"/>
      <x:c r="L42" s="3"/>
      <x:c r="M42" s="3"/>
    </x:row>
    <x:row r="43" ht="23" customHeight="1">
      <x:c r="A43" s="3"/>
      <x:c r="B43" s="3"/>
      <x:c r="C43" s="3"/>
      <x:c r="D43" s="3"/>
      <x:c r="E43" s="3"/>
      <x:c r="F43" s="3"/>
      <x:c r="G43" s="3"/>
      <x:c r="H43" s="3"/>
      <x:c r="I43" s="3"/>
      <x:c r="J43" s="3"/>
      <x:c r="K43" s="3"/>
      <x:c r="L43" s="3"/>
      <x:c r="M43" s="3"/>
    </x:row>
    <x:row r="44" ht="23" customHeight="1">
      <x:c r="A44" s="3"/>
      <x:c r="B44" s="3"/>
      <x:c r="C44" s="3"/>
      <x:c r="D44" s="3"/>
      <x:c r="E44" s="3"/>
      <x:c r="F44" s="3"/>
      <x:c r="G44" s="3"/>
      <x:c r="H44" s="3"/>
      <x:c r="I44" s="3"/>
      <x:c r="J44" s="3"/>
      <x:c r="K44" s="3"/>
      <x:c r="L44" s="3"/>
      <x:c r="M44" s="3"/>
    </x:row>
    <x:row r="45" ht="23" customHeight="1">
      <x:c r="A45" s="3"/>
      <x:c r="B45" s="3"/>
      <x:c r="C45" s="3"/>
      <x:c r="D45" s="3"/>
      <x:c r="E45" s="3"/>
      <x:c r="F45" s="3"/>
      <x:c r="G45" s="3"/>
      <x:c r="H45" s="3"/>
      <x:c r="I45" s="3"/>
      <x:c r="J45" s="3"/>
      <x:c r="K45" s="3"/>
      <x:c r="L45" s="3"/>
      <x:c r="M45" s="3"/>
    </x:row>
    <x:row r="46" ht="23" customHeight="1">
      <x:c r="A46" s="3"/>
      <x:c r="B46" s="3"/>
      <x:c r="C46" s="3"/>
      <x:c r="D46" s="3"/>
      <x:c r="E46" s="3"/>
      <x:c r="F46" s="3"/>
      <x:c r="G46" s="3"/>
      <x:c r="H46" s="3"/>
      <x:c r="I46" s="3"/>
      <x:c r="J46" s="3"/>
      <x:c r="K46" s="3"/>
      <x:c r="L46" s="3"/>
      <x:c r="M46" s="3"/>
    </x:row>
    <x:row r="47" ht="23" customHeight="1">
      <x:c r="A47" s="3"/>
      <x:c r="B47" s="3"/>
      <x:c r="C47" s="3"/>
      <x:c r="D47" s="3"/>
      <x:c r="E47" s="3"/>
      <x:c r="F47" s="3"/>
      <x:c r="G47" s="3"/>
      <x:c r="H47" s="3"/>
      <x:c r="I47" s="3"/>
      <x:c r="J47" s="3"/>
      <x:c r="K47" s="3"/>
      <x:c r="L47" s="3"/>
      <x:c r="M47" s="3"/>
    </x:row>
    <x:row r="48" ht="23" customHeight="1">
      <x:c r="A48" s="3"/>
      <x:c r="B48" s="3"/>
      <x:c r="C48" s="3"/>
      <x:c r="D48" s="3"/>
      <x:c r="E48" s="3"/>
      <x:c r="F48" s="3"/>
      <x:c r="G48" s="3"/>
      <x:c r="H48" s="3"/>
      <x:c r="I48" s="3"/>
      <x:c r="J48" s="3"/>
      <x:c r="K48" s="3"/>
      <x:c r="L48" s="3"/>
      <x:c r="M48" s="3"/>
    </x:row>
    <x:row r="49" ht="23" customHeight="1">
      <x:c r="A49" s="3"/>
      <x:c r="B49" s="3"/>
      <x:c r="C49" s="3"/>
      <x:c r="D49" s="3"/>
      <x:c r="E49" s="3"/>
      <x:c r="F49" s="3"/>
      <x:c r="G49" s="3"/>
      <x:c r="H49" s="3"/>
      <x:c r="I49" s="3"/>
      <x:c r="J49" s="3"/>
      <x:c r="K49" s="3"/>
      <x:c r="L49" s="3"/>
      <x:c r="M49" s="3"/>
    </x:row>
    <x:row r="50" ht="23" customHeight="1">
      <x:c r="A50" s="3"/>
      <x:c r="B50" s="3"/>
      <x:c r="C50" s="3"/>
      <x:c r="D50" s="3"/>
      <x:c r="E50" s="3"/>
      <x:c r="F50" s="3"/>
      <x:c r="G50" s="3"/>
      <x:c r="H50" s="3"/>
      <x:c r="I50" s="3"/>
      <x:c r="J50" s="3"/>
      <x:c r="K50" s="3"/>
      <x:c r="L50" s="3"/>
      <x:c r="M50" s="3"/>
    </x:row>
    <x:row r="51" ht="23" customHeight="1">
      <x:c r="A51" s="3"/>
      <x:c r="B51" s="3"/>
      <x:c r="C51" s="3"/>
      <x:c r="D51" s="3"/>
      <x:c r="E51" s="3"/>
      <x:c r="F51" s="3"/>
      <x:c r="G51" s="3"/>
      <x:c r="H51" s="3"/>
      <x:c r="I51" s="3"/>
      <x:c r="J51" s="3"/>
      <x:c r="K51" s="3"/>
      <x:c r="L51" s="3"/>
      <x:c r="M51" s="3"/>
    </x:row>
    <x:row r="52" ht="23" customHeight="1">
      <x:c r="A52" s="3"/>
      <x:c r="B52" s="3"/>
      <x:c r="C52" s="3"/>
      <x:c r="D52" s="3"/>
      <x:c r="E52" s="3"/>
      <x:c r="F52" s="3"/>
      <x:c r="G52" s="3"/>
      <x:c r="H52" s="3"/>
      <x:c r="I52" s="3"/>
      <x:c r="J52" s="3"/>
      <x:c r="K52" s="3"/>
      <x:c r="L52" s="3"/>
      <x:c r="M52" s="3"/>
    </x:row>
    <x:row r="53" ht="23" customHeight="1">
      <x:c r="A53" s="3"/>
      <x:c r="B53" s="3"/>
      <x:c r="C53" s="3"/>
      <x:c r="D53" s="3"/>
      <x:c r="E53" s="3"/>
      <x:c r="F53" s="3"/>
      <x:c r="G53" s="3"/>
      <x:c r="H53" s="3"/>
      <x:c r="I53" s="3"/>
      <x:c r="J53" s="3"/>
      <x:c r="K53" s="3"/>
      <x:c r="L53" s="3"/>
      <x:c r="M53" s="3"/>
    </x:row>
    <x:row r="54" ht="23" customHeight="1">
      <x:c r="A54" s="3"/>
      <x:c r="B54" s="3"/>
      <x:c r="C54" s="3"/>
      <x:c r="D54" s="3"/>
      <x:c r="E54" s="3"/>
      <x:c r="F54" s="3"/>
      <x:c r="G54" s="3"/>
      <x:c r="H54" s="3"/>
      <x:c r="I54" s="3"/>
      <x:c r="J54" s="3"/>
      <x:c r="K54" s="3"/>
      <x:c r="L54" s="3"/>
      <x:c r="M54" s="3"/>
    </x:row>
    <x:row r="55" ht="23" customHeight="1">
      <x:c r="A55" s="3"/>
      <x:c r="B55" s="3"/>
      <x:c r="C55" s="3"/>
      <x:c r="D55" s="3"/>
      <x:c r="E55" s="3"/>
      <x:c r="F55" s="3"/>
      <x:c r="G55" s="3"/>
      <x:c r="H55" s="3"/>
      <x:c r="I55" s="3"/>
      <x:c r="J55" s="3"/>
      <x:c r="K55" s="3"/>
      <x:c r="L55" s="3"/>
      <x:c r="M55" s="3"/>
    </x:row>
    <x:row r="56" ht="23" customHeight="1">
      <x:c r="A56" s="3"/>
      <x:c r="B56" s="3"/>
      <x:c r="C56" s="3"/>
      <x:c r="D56" s="3"/>
      <x:c r="E56" s="3"/>
      <x:c r="F56" s="3"/>
      <x:c r="G56" s="3"/>
      <x:c r="H56" s="3"/>
      <x:c r="I56" s="3"/>
      <x:c r="J56" s="3"/>
      <x:c r="K56" s="3"/>
      <x:c r="L56" s="3"/>
      <x:c r="M56" s="3"/>
    </x:row>
    <x:row r="57" ht="23" customHeight="1">
      <x:c r="A57" s="3"/>
      <x:c r="B57" s="3"/>
      <x:c r="C57" s="3"/>
      <x:c r="D57" s="3"/>
      <x:c r="E57" s="3"/>
      <x:c r="F57" s="3"/>
      <x:c r="G57" s="3"/>
      <x:c r="H57" s="3"/>
      <x:c r="I57" s="3"/>
      <x:c r="J57" s="3"/>
      <x:c r="K57" s="3"/>
      <x:c r="L57" s="3"/>
      <x:c r="M57" s="3"/>
    </x:row>
    <x:row r="58" ht="23" customHeight="1">
      <x:c r="A58" s="3"/>
      <x:c r="B58" s="3"/>
      <x:c r="C58" s="3"/>
      <x:c r="D58" s="3"/>
      <x:c r="E58" s="3"/>
      <x:c r="F58" s="3"/>
      <x:c r="G58" s="3"/>
      <x:c r="H58" s="3"/>
      <x:c r="I58" s="3"/>
      <x:c r="J58" s="3"/>
      <x:c r="K58" s="3"/>
      <x:c r="L58" s="3"/>
      <x:c r="M58" s="3"/>
    </x:row>
    <x:row r="59" ht="23" customHeight="1">
      <x:c r="A59" s="3"/>
      <x:c r="B59" s="3"/>
      <x:c r="C59" s="3"/>
      <x:c r="D59" s="3"/>
      <x:c r="E59" s="3"/>
      <x:c r="F59" s="3"/>
      <x:c r="G59" s="3"/>
      <x:c r="H59" s="3"/>
      <x:c r="I59" s="3"/>
      <x:c r="J59" s="3"/>
      <x:c r="K59" s="3"/>
      <x:c r="L59" s="3"/>
      <x:c r="M59" s="3"/>
    </x:row>
    <x:row r="60" ht="23" customHeight="1">
      <x:c r="A60" s="3"/>
      <x:c r="B60" s="3"/>
      <x:c r="C60" s="3"/>
      <x:c r="D60" s="3"/>
      <x:c r="E60" s="3"/>
      <x:c r="F60" s="3"/>
      <x:c r="G60" s="3"/>
      <x:c r="H60" s="3"/>
      <x:c r="I60" s="3"/>
      <x:c r="J60" s="3"/>
      <x:c r="K60" s="3"/>
      <x:c r="L60" s="3"/>
      <x:c r="M60" s="3"/>
    </x:row>
    <x:row r="61" ht="23" customHeight="1">
      <x:c r="A61" s="3"/>
      <x:c r="B61" s="3"/>
      <x:c r="C61" s="3"/>
      <x:c r="D61" s="3"/>
      <x:c r="E61" s="3"/>
      <x:c r="F61" s="3"/>
      <x:c r="G61" s="3"/>
      <x:c r="H61" s="3"/>
      <x:c r="I61" s="3"/>
      <x:c r="J61" s="3"/>
      <x:c r="K61" s="3"/>
      <x:c r="L61" s="3"/>
      <x:c r="M61" s="3"/>
    </x:row>
    <x:row r="62" ht="23" customHeight="1">
      <x:c r="A62" s="3"/>
      <x:c r="B62" s="3"/>
      <x:c r="C62" s="3"/>
      <x:c r="D62" s="3"/>
      <x:c r="E62" s="3"/>
      <x:c r="F62" s="3"/>
      <x:c r="G62" s="3"/>
      <x:c r="H62" s="3"/>
      <x:c r="I62" s="3"/>
      <x:c r="J62" s="3"/>
      <x:c r="K62" s="3"/>
      <x:c r="L62" s="3"/>
      <x:c r="M62" s="3"/>
    </x:row>
    <x:row r="63" ht="23" customHeight="1">
      <x:c r="A63" s="3"/>
      <x:c r="B63" s="3"/>
      <x:c r="C63" s="3"/>
      <x:c r="D63" s="3"/>
      <x:c r="E63" s="3"/>
      <x:c r="F63" s="3"/>
      <x:c r="G63" s="3"/>
      <x:c r="H63" s="3"/>
      <x:c r="I63" s="3"/>
      <x:c r="J63" s="3"/>
      <x:c r="K63" s="3"/>
      <x:c r="L63" s="3"/>
      <x:c r="M63" s="3"/>
    </x:row>
    <x:row r="64" ht="23" customHeight="1">
      <x:c r="A64" s="3"/>
      <x:c r="B64" s="3"/>
      <x:c r="C64" s="3"/>
      <x:c r="D64" s="3"/>
      <x:c r="E64" s="3"/>
      <x:c r="F64" s="3"/>
      <x:c r="G64" s="3"/>
      <x:c r="H64" s="3"/>
      <x:c r="I64" s="3"/>
      <x:c r="J64" s="3"/>
      <x:c r="K64" s="3"/>
      <x:c r="L64" s="3"/>
      <x:c r="M64" s="3"/>
    </x:row>
    <x:row r="65" ht="23" customHeight="1">
      <x:c r="A65" s="3"/>
      <x:c r="B65" s="3"/>
      <x:c r="C65" s="3"/>
      <x:c r="D65" s="3"/>
      <x:c r="E65" s="3"/>
      <x:c r="F65" s="3"/>
      <x:c r="G65" s="3"/>
      <x:c r="H65" s="3"/>
      <x:c r="I65" s="3"/>
      <x:c r="J65" s="3"/>
      <x:c r="K65" s="3"/>
      <x:c r="L65" s="3"/>
      <x:c r="M65" s="3"/>
    </x:row>
  </x:sheetData>
  <x:mergeCells>
    <x:mergeCell ref="A1:M2"/>
    <x:mergeCell ref="A3:M3"/>
    <x:mergeCell ref="A21:M23"/>
  </x:mergeCells>
  <x:conditionalFormatting sqref="K5:K16">
    <x:cfRule type="expression" dxfId="2" priority="1">
      <x:formula>K5&lt;L5</x:formula>
    </x:cfRule>
  </x:conditionalFormatting>
  <x:conditionalFormatting sqref="I5:I16">
    <x:cfRule type="cellIs" dxfId="3" priority="2" operator="lessThan">
      <x:formula>0</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39" hidden="0" customWidth="1"/>
    <x:col min="2" max="2" width="17" hidden="0" customWidth="1"/>
    <x:col min="3" max="3" width="17" hidden="0" customWidth="1"/>
    <x:col min="4" max="4" width="17" hidden="0" customWidth="1"/>
    <x:col min="5" max="5" width="18" hidden="0" customWidth="1"/>
    <x:col min="6" max="6" width="18" hidden="0" customWidth="1"/>
  </x:cols>
  <x:sheetData>
    <x:row r="1" ht="23" customHeight="1">
      <x:c r="A1" s="8" t="str">
        <x:v>ĐỘ NHẠY LỢI NHUẬN VẬN HÀNH</x:v>
      </x:c>
      <x:c r="B1" s="8"/>
      <x:c r="C1" s="8"/>
      <x:c r="D1" s="8"/>
      <x:c r="E1" s="8"/>
      <x:c r="F1" s="8"/>
      <x:c r="G1" s="3"/>
      <x:c r="H1" s="3"/>
      <x:c r="I1" s="3"/>
      <x:c r="J1" s="3"/>
      <x:c r="K1" s="3"/>
      <x:c r="L1" s="3"/>
      <x:c r="M1" s="3"/>
    </x:row>
    <x:row r="2" ht="23" customHeight="1">
      <x:c r="A2" s="8"/>
      <x:c r="B2" s="8"/>
      <x:c r="C2" s="8"/>
      <x:c r="D2" s="8"/>
      <x:c r="E2" s="8"/>
      <x:c r="F2" s="8"/>
      <x:c r="G2" s="3"/>
      <x:c r="H2" s="3"/>
      <x:c r="I2" s="3"/>
      <x:c r="J2" s="3"/>
      <x:c r="K2" s="3"/>
      <x:c r="L2" s="3"/>
      <x:c r="M2" s="3"/>
    </x:row>
    <x:row r="3" ht="32" customHeight="1">
      <x:c r="A3" s="13" t="str">
        <x:v>Triệu đồng EBITDA / tháng | Giữ các giả định khác ở cột cơ sở của phương án A</x:v>
      </x:c>
      <x:c r="B3" s="13"/>
      <x:c r="C3" s="13"/>
      <x:c r="D3" s="13"/>
      <x:c r="E3" s="13"/>
      <x:c r="F3" s="13"/>
      <x:c r="G3" s="3"/>
      <x:c r="H3" s="3"/>
      <x:c r="I3" s="3"/>
      <x:c r="J3" s="3"/>
      <x:c r="K3" s="3"/>
      <x:c r="L3" s="3"/>
      <x:c r="M3" s="3"/>
    </x:row>
    <x:row r="4" ht="23" customHeight="1">
      <x:c r="A4" s="3"/>
      <x:c r="B4" s="3"/>
      <x:c r="C4" s="3"/>
      <x:c r="D4" s="3"/>
      <x:c r="E4" s="3"/>
      <x:c r="F4" s="3"/>
      <x:c r="G4" s="3"/>
      <x:c r="H4" s="3"/>
      <x:c r="I4" s="3"/>
      <x:c r="J4" s="3"/>
      <x:c r="K4" s="3"/>
      <x:c r="L4" s="3"/>
      <x:c r="M4" s="3"/>
    </x:row>
    <x:row r="5" ht="30" customHeight="1">
      <x:c r="A5" s="18" t="str">
        <x:v>1. GIÁ THU BÌNH QUÂN × TIỀN THUÊ</x:v>
      </x:c>
      <x:c r="B5" s="18"/>
      <x:c r="C5" s="18"/>
      <x:c r="D5" s="18"/>
      <x:c r="E5" s="18"/>
      <x:c r="F5" s="18"/>
      <x:c r="G5" s="3"/>
      <x:c r="H5" s="3"/>
      <x:c r="I5" s="3"/>
      <x:c r="J5" s="3"/>
      <x:c r="K5" s="3"/>
      <x:c r="L5" s="3"/>
      <x:c r="M5" s="3"/>
    </x:row>
    <x:row r="6" ht="23" customHeight="1">
      <x:c r="A6" s="3" t="str">
        <x:v>Giá / Thuê</x:v>
      </x:c>
      <x:c r="B6" s="68" t="n">
        <x:v>40</x:v>
      </x:c>
      <x:c r="C6" s="68" t="n">
        <x:v>60</x:v>
      </x:c>
      <x:c r="D6" s="68" t="n">
        <x:v>80</x:v>
      </x:c>
      <x:c r="E6" s="68" t="n">
        <x:v>100</x:v>
      </x:c>
      <x:c r="F6" s="68" t="n">
        <x:v>120</x:v>
      </x:c>
      <x:c r="G6" s="3"/>
      <x:c r="H6" s="3"/>
      <x:c r="I6" s="3"/>
      <x:c r="J6" s="3"/>
      <x:c r="K6" s="3"/>
      <x:c r="L6" s="3"/>
      <x:c r="M6" s="3"/>
    </x:row>
    <x:row r="7" ht="23" customHeight="1">
      <x:c r="A7" s="68" t="n">
        <x:v>1.2</x:v>
      </x:c>
      <x:c r="B7" s="38" t="n">
        <x:f>'CLB'!$C$5*($A7-'Gia_dinh'!$C$8*'Gia_dinh'!$C$10)+'CLB'!$C$7*(1-'Gia_dinh'!$C$15)-('CLB'!$C$8+'Gia_dinh'!$C$21+B$6)</x:f>
        <x:v>-29</x:v>
      </x:c>
      <x:c r="C7" s="38" t="n">
        <x:f>'CLB'!$C$5*($A7-'Gia_dinh'!$C$8*'Gia_dinh'!$C$10)+'CLB'!$C$7*(1-'Gia_dinh'!$C$15)-('CLB'!$C$8+'Gia_dinh'!$C$21+C$6)</x:f>
        <x:v>-49</x:v>
      </x:c>
      <x:c r="D7" s="38" t="n">
        <x:f>'CLB'!$C$5*($A7-'Gia_dinh'!$C$8*'Gia_dinh'!$C$10)+'CLB'!$C$7*(1-'Gia_dinh'!$C$15)-('CLB'!$C$8+'Gia_dinh'!$C$21+D$6)</x:f>
        <x:v>-69</x:v>
      </x:c>
      <x:c r="E7" s="38" t="n">
        <x:f>'CLB'!$C$5*($A7-'Gia_dinh'!$C$8*'Gia_dinh'!$C$10)+'CLB'!$C$7*(1-'Gia_dinh'!$C$15)-('CLB'!$C$8+'Gia_dinh'!$C$21+E$6)</x:f>
        <x:v>-89</x:v>
      </x:c>
      <x:c r="F7" s="38" t="n">
        <x:f>'CLB'!$C$5*($A7-'Gia_dinh'!$C$8*'Gia_dinh'!$C$10)+'CLB'!$C$7*(1-'Gia_dinh'!$C$15)-('CLB'!$C$8+'Gia_dinh'!$C$21+F$6)</x:f>
        <x:v>-109</x:v>
      </x:c>
      <x:c r="G7" s="3"/>
      <x:c r="H7" s="3"/>
      <x:c r="I7" s="3"/>
      <x:c r="J7" s="3"/>
      <x:c r="K7" s="3"/>
      <x:c r="L7" s="3"/>
      <x:c r="M7" s="3"/>
    </x:row>
    <x:row r="8" ht="23" customHeight="1">
      <x:c r="A8" s="68" t="n">
        <x:v>1.4</x:v>
      </x:c>
      <x:c r="B8" s="38" t="n">
        <x:f>'CLB'!$C$5*($A8-'Gia_dinh'!$C$8*'Gia_dinh'!$C$10)+'CLB'!$C$7*(1-'Gia_dinh'!$C$15)-('CLB'!$C$8+'Gia_dinh'!$C$21+B$6)</x:f>
        <x:v>3</x:v>
      </x:c>
      <x:c r="C8" s="38" t="n">
        <x:f>'CLB'!$C$5*($A8-'Gia_dinh'!$C$8*'Gia_dinh'!$C$10)+'CLB'!$C$7*(1-'Gia_dinh'!$C$15)-('CLB'!$C$8+'Gia_dinh'!$C$21+C$6)</x:f>
        <x:v>-17</x:v>
      </x:c>
      <x:c r="D8" s="38" t="n">
        <x:f>'CLB'!$C$5*($A8-'Gia_dinh'!$C$8*'Gia_dinh'!$C$10)+'CLB'!$C$7*(1-'Gia_dinh'!$C$15)-('CLB'!$C$8+'Gia_dinh'!$C$21+D$6)</x:f>
        <x:v>-37</x:v>
      </x:c>
      <x:c r="E8" s="38" t="n">
        <x:f>'CLB'!$C$5*($A8-'Gia_dinh'!$C$8*'Gia_dinh'!$C$10)+'CLB'!$C$7*(1-'Gia_dinh'!$C$15)-('CLB'!$C$8+'Gia_dinh'!$C$21+E$6)</x:f>
        <x:v>-57</x:v>
      </x:c>
      <x:c r="F8" s="38" t="n">
        <x:f>'CLB'!$C$5*($A8-'Gia_dinh'!$C$8*'Gia_dinh'!$C$10)+'CLB'!$C$7*(1-'Gia_dinh'!$C$15)-('CLB'!$C$8+'Gia_dinh'!$C$21+F$6)</x:f>
        <x:v>-77</x:v>
      </x:c>
      <x:c r="G8" s="3"/>
      <x:c r="H8" s="3"/>
      <x:c r="I8" s="3"/>
      <x:c r="J8" s="3"/>
      <x:c r="K8" s="3"/>
      <x:c r="L8" s="3"/>
      <x:c r="M8" s="3"/>
    </x:row>
    <x:row r="9" ht="23" customHeight="1">
      <x:c r="A9" s="68" t="n">
        <x:v>1.6</x:v>
      </x:c>
      <x:c r="B9" s="38" t="n">
        <x:f>'CLB'!$C$5*($A9-'Gia_dinh'!$C$8*'Gia_dinh'!$C$10)+'CLB'!$C$7*(1-'Gia_dinh'!$C$15)-('CLB'!$C$8+'Gia_dinh'!$C$21+B$6)</x:f>
        <x:v>35.00000000000003</x:v>
      </x:c>
      <x:c r="C9" s="38" t="n">
        <x:f>'CLB'!$C$5*($A9-'Gia_dinh'!$C$8*'Gia_dinh'!$C$10)+'CLB'!$C$7*(1-'Gia_dinh'!$C$15)-('CLB'!$C$8+'Gia_dinh'!$C$21+C$6)</x:f>
        <x:v>15.000000000000028</x:v>
      </x:c>
      <x:c r="D9" s="38" t="n">
        <x:f>'CLB'!$C$5*($A9-'Gia_dinh'!$C$8*'Gia_dinh'!$C$10)+'CLB'!$C$7*(1-'Gia_dinh'!$C$15)-('CLB'!$C$8+'Gia_dinh'!$C$21+D$6)</x:f>
        <x:v>-4.999999999999972</x:v>
      </x:c>
      <x:c r="E9" s="38" t="n">
        <x:f>'CLB'!$C$5*($A9-'Gia_dinh'!$C$8*'Gia_dinh'!$C$10)+'CLB'!$C$7*(1-'Gia_dinh'!$C$15)-('CLB'!$C$8+'Gia_dinh'!$C$21+E$6)</x:f>
        <x:v>-24.99999999999997</x:v>
      </x:c>
      <x:c r="F9" s="38" t="n">
        <x:f>'CLB'!$C$5*($A9-'Gia_dinh'!$C$8*'Gia_dinh'!$C$10)+'CLB'!$C$7*(1-'Gia_dinh'!$C$15)-('CLB'!$C$8+'Gia_dinh'!$C$21+F$6)</x:f>
        <x:v>-44.99999999999997</x:v>
      </x:c>
      <x:c r="G9" s="3"/>
      <x:c r="H9" s="3"/>
      <x:c r="I9" s="3"/>
      <x:c r="J9" s="3"/>
      <x:c r="K9" s="3"/>
      <x:c r="L9" s="3"/>
      <x:c r="M9" s="3"/>
    </x:row>
    <x:row r="10" ht="23" customHeight="1">
      <x:c r="A10" s="68" t="n">
        <x:v>1.8</x:v>
      </x:c>
      <x:c r="B10" s="38" t="n">
        <x:f>'CLB'!$C$5*($A10-'Gia_dinh'!$C$8*'Gia_dinh'!$C$10)+'CLB'!$C$7*(1-'Gia_dinh'!$C$15)-('CLB'!$C$8+'Gia_dinh'!$C$21+B$6)</x:f>
        <x:v>67</x:v>
      </x:c>
      <x:c r="C10" s="38" t="n">
        <x:f>'CLB'!$C$5*($A10-'Gia_dinh'!$C$8*'Gia_dinh'!$C$10)+'CLB'!$C$7*(1-'Gia_dinh'!$C$15)-('CLB'!$C$8+'Gia_dinh'!$C$21+C$6)</x:f>
        <x:v>47</x:v>
      </x:c>
      <x:c r="D10" s="38" t="n">
        <x:f>'CLB'!$C$5*($A10-'Gia_dinh'!$C$8*'Gia_dinh'!$C$10)+'CLB'!$C$7*(1-'Gia_dinh'!$C$15)-('CLB'!$C$8+'Gia_dinh'!$C$21+D$6)</x:f>
        <x:v>27</x:v>
      </x:c>
      <x:c r="E10" s="38" t="n">
        <x:f>'CLB'!$C$5*($A10-'Gia_dinh'!$C$8*'Gia_dinh'!$C$10)+'CLB'!$C$7*(1-'Gia_dinh'!$C$15)-('CLB'!$C$8+'Gia_dinh'!$C$21+E$6)</x:f>
        <x:v>7</x:v>
      </x:c>
      <x:c r="F10" s="38" t="n">
        <x:f>'CLB'!$C$5*($A10-'Gia_dinh'!$C$8*'Gia_dinh'!$C$10)+'CLB'!$C$7*(1-'Gia_dinh'!$C$15)-('CLB'!$C$8+'Gia_dinh'!$C$21+F$6)</x:f>
        <x:v>-13</x:v>
      </x:c>
      <x:c r="G10" s="3"/>
      <x:c r="H10" s="3"/>
      <x:c r="I10" s="3"/>
      <x:c r="J10" s="3"/>
      <x:c r="K10" s="3"/>
      <x:c r="L10" s="3"/>
      <x:c r="M10" s="3"/>
    </x:row>
    <x:row r="11" ht="23" customHeight="1">
      <x:c r="A11" s="68" t="n">
        <x:v>2</x:v>
      </x:c>
      <x:c r="B11" s="38" t="n">
        <x:f>'CLB'!$C$5*($A11-'Gia_dinh'!$C$8*'Gia_dinh'!$C$10)+'CLB'!$C$7*(1-'Gia_dinh'!$C$15)-('CLB'!$C$8+'Gia_dinh'!$C$21+B$6)</x:f>
        <x:v>99</x:v>
      </x:c>
      <x:c r="C11" s="38" t="n">
        <x:f>'CLB'!$C$5*($A11-'Gia_dinh'!$C$8*'Gia_dinh'!$C$10)+'CLB'!$C$7*(1-'Gia_dinh'!$C$15)-('CLB'!$C$8+'Gia_dinh'!$C$21+C$6)</x:f>
        <x:v>79</x:v>
      </x:c>
      <x:c r="D11" s="38" t="n">
        <x:f>'CLB'!$C$5*($A11-'Gia_dinh'!$C$8*'Gia_dinh'!$C$10)+'CLB'!$C$7*(1-'Gia_dinh'!$C$15)-('CLB'!$C$8+'Gia_dinh'!$C$21+D$6)</x:f>
        <x:v>59</x:v>
      </x:c>
      <x:c r="E11" s="38" t="n">
        <x:f>'CLB'!$C$5*($A11-'Gia_dinh'!$C$8*'Gia_dinh'!$C$10)+'CLB'!$C$7*(1-'Gia_dinh'!$C$15)-('CLB'!$C$8+'Gia_dinh'!$C$21+E$6)</x:f>
        <x:v>39</x:v>
      </x:c>
      <x:c r="F11" s="38" t="n">
        <x:f>'CLB'!$C$5*($A11-'Gia_dinh'!$C$8*'Gia_dinh'!$C$10)+'CLB'!$C$7*(1-'Gia_dinh'!$C$15)-('CLB'!$C$8+'Gia_dinh'!$C$21+F$6)</x:f>
        <x:v>19</x:v>
      </x:c>
      <x:c r="G11" s="3"/>
      <x:c r="H11" s="3"/>
      <x:c r="I11" s="3"/>
      <x:c r="J11" s="3"/>
      <x:c r="K11" s="3"/>
      <x:c r="L11" s="3"/>
      <x:c r="M11" s="3"/>
    </x:row>
    <x:row r="12" ht="23" customHeight="1">
      <x:c r="A12" s="3"/>
      <x:c r="B12" s="3"/>
      <x:c r="C12" s="3"/>
      <x:c r="D12" s="3"/>
      <x:c r="E12" s="3"/>
      <x:c r="F12" s="3"/>
      <x:c r="G12" s="3"/>
      <x:c r="H12" s="3"/>
      <x:c r="I12" s="3"/>
      <x:c r="J12" s="3"/>
      <x:c r="K12" s="3"/>
      <x:c r="L12" s="3"/>
      <x:c r="M12" s="3"/>
    </x:row>
    <x:row r="13" ht="23" customHeight="1">
      <x:c r="A13" s="3"/>
      <x:c r="B13" s="3"/>
      <x:c r="C13" s="3"/>
      <x:c r="D13" s="3"/>
      <x:c r="E13" s="3"/>
      <x:c r="F13" s="3"/>
      <x:c r="G13" s="3"/>
      <x:c r="H13" s="3"/>
      <x:c r="I13" s="3"/>
      <x:c r="J13" s="3"/>
      <x:c r="K13" s="3"/>
      <x:c r="L13" s="3"/>
      <x:c r="M13" s="3"/>
    </x:row>
    <x:row r="14" ht="30" customHeight="1">
      <x:c r="A14" s="18" t="str">
        <x:v>2. SỐ HỘI VIÊN × TIỀN THUÊ</x:v>
      </x:c>
      <x:c r="B14" s="18"/>
      <x:c r="C14" s="18"/>
      <x:c r="D14" s="18"/>
      <x:c r="E14" s="18"/>
      <x:c r="F14" s="18"/>
      <x:c r="G14" s="3"/>
      <x:c r="H14" s="3"/>
      <x:c r="I14" s="3"/>
      <x:c r="J14" s="3"/>
      <x:c r="K14" s="3"/>
      <x:c r="L14" s="3"/>
      <x:c r="M14" s="3"/>
    </x:row>
    <x:row r="15" ht="23" customHeight="1">
      <x:c r="A15" s="3" t="str">
        <x:v>Hội viên / Thuê</x:v>
      </x:c>
      <x:c r="B15" s="68" t="n">
        <x:v>40</x:v>
      </x:c>
      <x:c r="C15" s="68" t="n">
        <x:v>60</x:v>
      </x:c>
      <x:c r="D15" s="68" t="n">
        <x:v>80</x:v>
      </x:c>
      <x:c r="E15" s="68" t="n">
        <x:v>100</x:v>
      </x:c>
      <x:c r="F15" s="68" t="n">
        <x:v>120</x:v>
      </x:c>
      <x:c r="G15" s="3"/>
      <x:c r="H15" s="3"/>
      <x:c r="I15" s="3"/>
      <x:c r="J15" s="3"/>
      <x:c r="K15" s="3"/>
      <x:c r="L15" s="3"/>
      <x:c r="M15" s="3"/>
    </x:row>
    <x:row r="16" ht="23" customHeight="1">
      <x:c r="A16" s="68" t="n">
        <x:v>100</x:v>
      </x:c>
      <x:c r="B16" s="38" t="n">
        <x:f>$A16*'CLB'!$C$23+'CLB'!$C$7*(1-'Gia_dinh'!$C$15)-('CLB'!$C$8+'Gia_dinh'!$C$21+B$15)</x:f>
        <x:v>-49</x:v>
      </x:c>
      <x:c r="C16" s="38" t="n">
        <x:f>$A16*'CLB'!$C$23+'CLB'!$C$7*(1-'Gia_dinh'!$C$15)-('CLB'!$C$8+'Gia_dinh'!$C$21+C$15)</x:f>
        <x:v>-69</x:v>
      </x:c>
      <x:c r="D16" s="38" t="n">
        <x:f>$A16*'CLB'!$C$23+'CLB'!$C$7*(1-'Gia_dinh'!$C$15)-('CLB'!$C$8+'Gia_dinh'!$C$21+D$15)</x:f>
        <x:v>-89</x:v>
      </x:c>
      <x:c r="E16" s="38" t="n">
        <x:f>$A16*'CLB'!$C$23+'CLB'!$C$7*(1-'Gia_dinh'!$C$15)-('CLB'!$C$8+'Gia_dinh'!$C$21+E$15)</x:f>
        <x:v>-109</x:v>
      </x:c>
      <x:c r="F16" s="38" t="n">
        <x:f>$A16*'CLB'!$C$23+'CLB'!$C$7*(1-'Gia_dinh'!$C$15)-('CLB'!$C$8+'Gia_dinh'!$C$21+F$15)</x:f>
        <x:v>-129</x:v>
      </x:c>
      <x:c r="G16" s="3"/>
      <x:c r="H16" s="3"/>
      <x:c r="I16" s="3"/>
      <x:c r="J16" s="3"/>
      <x:c r="K16" s="3"/>
      <x:c r="L16" s="3"/>
      <x:c r="M16" s="3"/>
    </x:row>
    <x:row r="17" ht="23" customHeight="1">
      <x:c r="A17" s="68" t="n">
        <x:v>125</x:v>
      </x:c>
      <x:c r="B17" s="38" t="n">
        <x:f>$A17*'CLB'!$C$23+'CLB'!$C$7*(1-'Gia_dinh'!$C$15)-('CLB'!$C$8+'Gia_dinh'!$C$21+B$15)</x:f>
        <x:v>-13.999999999999972</x:v>
      </x:c>
      <x:c r="C17" s="38" t="n">
        <x:f>$A17*'CLB'!$C$23+'CLB'!$C$7*(1-'Gia_dinh'!$C$15)-('CLB'!$C$8+'Gia_dinh'!$C$21+C$15)</x:f>
        <x:v>-33.99999999999997</x:v>
      </x:c>
      <x:c r="D17" s="38" t="n">
        <x:f>$A17*'CLB'!$C$23+'CLB'!$C$7*(1-'Gia_dinh'!$C$15)-('CLB'!$C$8+'Gia_dinh'!$C$21+D$15)</x:f>
        <x:v>-53.99999999999997</x:v>
      </x:c>
      <x:c r="E17" s="38" t="n">
        <x:f>$A17*'CLB'!$C$23+'CLB'!$C$7*(1-'Gia_dinh'!$C$15)-('CLB'!$C$8+'Gia_dinh'!$C$21+E$15)</x:f>
        <x:v>-73.99999999999997</x:v>
      </x:c>
      <x:c r="F17" s="38" t="n">
        <x:f>$A17*'CLB'!$C$23+'CLB'!$C$7*(1-'Gia_dinh'!$C$15)-('CLB'!$C$8+'Gia_dinh'!$C$21+F$15)</x:f>
        <x:v>-93.99999999999997</x:v>
      </x:c>
      <x:c r="G17" s="3"/>
      <x:c r="H17" s="3"/>
      <x:c r="I17" s="3"/>
      <x:c r="J17" s="3"/>
      <x:c r="K17" s="3"/>
      <x:c r="L17" s="3"/>
      <x:c r="M17" s="3"/>
    </x:row>
    <x:row r="18" ht="23" customHeight="1">
      <x:c r="A18" s="68" t="n">
        <x:v>150</x:v>
      </x:c>
      <x:c r="B18" s="38" t="n">
        <x:f>$A18*'CLB'!$C$23+'CLB'!$C$7*(1-'Gia_dinh'!$C$15)-('CLB'!$C$8+'Gia_dinh'!$C$21+B$15)</x:f>
        <x:v>21.00000000000003</x:v>
      </x:c>
      <x:c r="C18" s="38" t="n">
        <x:f>$A18*'CLB'!$C$23+'CLB'!$C$7*(1-'Gia_dinh'!$C$15)-('CLB'!$C$8+'Gia_dinh'!$C$21+C$15)</x:f>
        <x:v>1.0000000000000284</x:v>
      </x:c>
      <x:c r="D18" s="38" t="n">
        <x:f>$A18*'CLB'!$C$23+'CLB'!$C$7*(1-'Gia_dinh'!$C$15)-('CLB'!$C$8+'Gia_dinh'!$C$21+D$15)</x:f>
        <x:v>-18.99999999999997</x:v>
      </x:c>
      <x:c r="E18" s="38" t="n">
        <x:f>$A18*'CLB'!$C$23+'CLB'!$C$7*(1-'Gia_dinh'!$C$15)-('CLB'!$C$8+'Gia_dinh'!$C$21+E$15)</x:f>
        <x:v>-38.99999999999997</x:v>
      </x:c>
      <x:c r="F18" s="38" t="n">
        <x:f>$A18*'CLB'!$C$23+'CLB'!$C$7*(1-'Gia_dinh'!$C$15)-('CLB'!$C$8+'Gia_dinh'!$C$21+F$15)</x:f>
        <x:v>-58.99999999999997</x:v>
      </x:c>
      <x:c r="G18" s="3"/>
      <x:c r="H18" s="3"/>
      <x:c r="I18" s="3"/>
      <x:c r="J18" s="3"/>
      <x:c r="K18" s="3"/>
      <x:c r="L18" s="3"/>
      <x:c r="M18" s="3"/>
    </x:row>
    <x:row r="19" ht="23" customHeight="1">
      <x:c r="A19" s="68" t="n">
        <x:v>175</x:v>
      </x:c>
      <x:c r="B19" s="38" t="n">
        <x:f>$A19*'CLB'!$C$23+'CLB'!$C$7*(1-'Gia_dinh'!$C$15)-('CLB'!$C$8+'Gia_dinh'!$C$21+B$15)</x:f>
        <x:v>56</x:v>
      </x:c>
      <x:c r="C19" s="38" t="n">
        <x:f>$A19*'CLB'!$C$23+'CLB'!$C$7*(1-'Gia_dinh'!$C$15)-('CLB'!$C$8+'Gia_dinh'!$C$21+C$15)</x:f>
        <x:v>36</x:v>
      </x:c>
      <x:c r="D19" s="38" t="n">
        <x:f>$A19*'CLB'!$C$23+'CLB'!$C$7*(1-'Gia_dinh'!$C$15)-('CLB'!$C$8+'Gia_dinh'!$C$21+D$15)</x:f>
        <x:v>16</x:v>
      </x:c>
      <x:c r="E19" s="38" t="n">
        <x:f>$A19*'CLB'!$C$23+'CLB'!$C$7*(1-'Gia_dinh'!$C$15)-('CLB'!$C$8+'Gia_dinh'!$C$21+E$15)</x:f>
        <x:v>-4</x:v>
      </x:c>
      <x:c r="F19" s="38" t="n">
        <x:f>$A19*'CLB'!$C$23+'CLB'!$C$7*(1-'Gia_dinh'!$C$15)-('CLB'!$C$8+'Gia_dinh'!$C$21+F$15)</x:f>
        <x:v>-24</x:v>
      </x:c>
      <x:c r="G19" s="3"/>
      <x:c r="H19" s="3"/>
      <x:c r="I19" s="3"/>
      <x:c r="J19" s="3"/>
      <x:c r="K19" s="3"/>
      <x:c r="L19" s="3"/>
      <x:c r="M19" s="3"/>
    </x:row>
    <x:row r="20" ht="23" customHeight="1">
      <x:c r="A20" s="68" t="n">
        <x:v>200</x:v>
      </x:c>
      <x:c r="B20" s="38" t="n">
        <x:f>$A20*'CLB'!$C$23+'CLB'!$C$7*(1-'Gia_dinh'!$C$15)-('CLB'!$C$8+'Gia_dinh'!$C$21+B$15)</x:f>
        <x:v>91</x:v>
      </x:c>
      <x:c r="C20" s="38" t="n">
        <x:f>$A20*'CLB'!$C$23+'CLB'!$C$7*(1-'Gia_dinh'!$C$15)-('CLB'!$C$8+'Gia_dinh'!$C$21+C$15)</x:f>
        <x:v>71</x:v>
      </x:c>
      <x:c r="D20" s="38" t="n">
        <x:f>$A20*'CLB'!$C$23+'CLB'!$C$7*(1-'Gia_dinh'!$C$15)-('CLB'!$C$8+'Gia_dinh'!$C$21+D$15)</x:f>
        <x:v>51</x:v>
      </x:c>
      <x:c r="E20" s="38" t="n">
        <x:f>$A20*'CLB'!$C$23+'CLB'!$C$7*(1-'Gia_dinh'!$C$15)-('CLB'!$C$8+'Gia_dinh'!$C$21+E$15)</x:f>
        <x:v>31</x:v>
      </x:c>
      <x:c r="F20" s="38" t="n">
        <x:f>$A20*'CLB'!$C$23+'CLB'!$C$7*(1-'Gia_dinh'!$C$15)-('CLB'!$C$8+'Gia_dinh'!$C$21+F$15)</x:f>
        <x:v>11</x:v>
      </x:c>
      <x:c r="G20" s="3"/>
      <x:c r="H20" s="3"/>
      <x:c r="I20" s="3"/>
      <x:c r="J20" s="3"/>
      <x:c r="K20" s="3"/>
      <x:c r="L20" s="3"/>
      <x:c r="M20" s="3"/>
    </x:row>
    <x:row r="21" ht="23" customHeight="1">
      <x:c r="A21" s="3"/>
      <x:c r="B21" s="3"/>
      <x:c r="C21" s="3"/>
      <x:c r="D21" s="3"/>
      <x:c r="E21" s="3"/>
      <x:c r="F21" s="3"/>
      <x:c r="G21" s="3"/>
      <x:c r="H21" s="3"/>
      <x:c r="I21" s="3"/>
      <x:c r="J21" s="3"/>
      <x:c r="K21" s="3"/>
      <x:c r="L21" s="3"/>
      <x:c r="M21" s="3"/>
    </x:row>
    <x:row r="22" ht="23" customHeight="1">
      <x:c r="A22" s="3"/>
      <x:c r="B22" s="3"/>
      <x:c r="C22" s="3"/>
      <x:c r="D22" s="3"/>
      <x:c r="E22" s="3"/>
      <x:c r="F22" s="3"/>
      <x:c r="G22" s="3"/>
      <x:c r="H22" s="3"/>
      <x:c r="I22" s="3"/>
      <x:c r="J22" s="3"/>
      <x:c r="K22" s="3"/>
      <x:c r="L22" s="3"/>
      <x:c r="M22" s="3"/>
    </x:row>
    <x:row r="23" ht="25" customHeight="1">
      <x:c r="A23" s="62" t="str">
        <x:v>Bảng nhạy giữ quỹ nhân sự cơ sở 110 triệu/tháng để tách tác động của giá, thuê và số hội viên. Ở quy mô cao có thể phải tăng định biên. Vì vậy bảng này không thay thế cột “Tốt” của sheet CLB, nơi quỹ nhân sự là 125 triệu/tháng.</x:v>
      </x:c>
      <x:c r="B23" s="62"/>
      <x:c r="C23" s="62"/>
      <x:c r="D23" s="62"/>
      <x:c r="E23" s="62"/>
      <x:c r="F23" s="62"/>
      <x:c r="G23" s="3"/>
      <x:c r="H23" s="3"/>
      <x:c r="I23" s="3"/>
      <x:c r="J23" s="3"/>
      <x:c r="K23" s="3"/>
      <x:c r="L23" s="3"/>
      <x:c r="M23" s="3"/>
    </x:row>
    <x:row r="24" ht="25" customHeight="1">
      <x:c r="A24" s="62"/>
      <x:c r="B24" s="62"/>
      <x:c r="C24" s="62"/>
      <x:c r="D24" s="62"/>
      <x:c r="E24" s="62"/>
      <x:c r="F24" s="62"/>
      <x:c r="G24" s="3"/>
      <x:c r="H24" s="3"/>
      <x:c r="I24" s="3"/>
      <x:c r="J24" s="3"/>
      <x:c r="K24" s="3"/>
      <x:c r="L24" s="3"/>
      <x:c r="M24" s="3"/>
    </x:row>
    <x:row r="25" ht="25" customHeight="1">
      <x:c r="A25" s="62"/>
      <x:c r="B25" s="62"/>
      <x:c r="C25" s="62"/>
      <x:c r="D25" s="62"/>
      <x:c r="E25" s="62"/>
      <x:c r="F25" s="62"/>
      <x:c r="G25" s="3"/>
      <x:c r="H25" s="3"/>
      <x:c r="I25" s="3"/>
      <x:c r="J25" s="3"/>
      <x:c r="K25" s="3"/>
      <x:c r="L25" s="3"/>
      <x:c r="M25" s="3"/>
    </x:row>
    <x:row r="26" ht="23" customHeight="1">
      <x:c r="A26" s="3"/>
      <x:c r="B26" s="3"/>
      <x:c r="C26" s="3"/>
      <x:c r="D26" s="3"/>
      <x:c r="E26" s="3"/>
      <x:c r="F26" s="3"/>
      <x:c r="G26" s="3"/>
      <x:c r="H26" s="3"/>
      <x:c r="I26" s="3"/>
      <x:c r="J26" s="3"/>
      <x:c r="K26" s="3"/>
      <x:c r="L26" s="3"/>
      <x:c r="M26" s="3"/>
    </x:row>
    <x:row r="27" ht="23" customHeight="1">
      <x:c r="A27" s="3"/>
      <x:c r="B27" s="3"/>
      <x:c r="C27" s="3"/>
      <x:c r="D27" s="3"/>
      <x:c r="E27" s="3"/>
      <x:c r="F27" s="3"/>
      <x:c r="G27" s="3"/>
      <x:c r="H27" s="3"/>
      <x:c r="I27" s="3"/>
      <x:c r="J27" s="3"/>
      <x:c r="K27" s="3"/>
      <x:c r="L27" s="3"/>
      <x:c r="M27" s="3"/>
    </x:row>
    <x:row r="28" ht="23" customHeight="1">
      <x:c r="A28" s="3"/>
      <x:c r="B28" s="3"/>
      <x:c r="C28" s="3"/>
      <x:c r="D28" s="3"/>
      <x:c r="E28" s="3"/>
      <x:c r="F28" s="3"/>
      <x:c r="G28" s="3"/>
      <x:c r="H28" s="3"/>
      <x:c r="I28" s="3"/>
      <x:c r="J28" s="3"/>
      <x:c r="K28" s="3"/>
      <x:c r="L28" s="3"/>
      <x:c r="M28" s="3"/>
    </x:row>
    <x:row r="29" ht="23" customHeight="1">
      <x:c r="A29" s="3"/>
      <x:c r="B29" s="3"/>
      <x:c r="C29" s="3"/>
      <x:c r="D29" s="3"/>
      <x:c r="E29" s="3"/>
      <x:c r="F29" s="3"/>
      <x:c r="G29" s="3"/>
      <x:c r="H29" s="3"/>
      <x:c r="I29" s="3"/>
      <x:c r="J29" s="3"/>
      <x:c r="K29" s="3"/>
      <x:c r="L29" s="3"/>
      <x:c r="M29" s="3"/>
    </x:row>
    <x:row r="30" ht="23" customHeight="1">
      <x:c r="A30" s="3"/>
      <x:c r="B30" s="3"/>
      <x:c r="C30" s="3"/>
      <x:c r="D30" s="3"/>
      <x:c r="E30" s="3"/>
      <x:c r="F30" s="3"/>
      <x:c r="G30" s="3"/>
      <x:c r="H30" s="3"/>
      <x:c r="I30" s="3"/>
      <x:c r="J30" s="3"/>
      <x:c r="K30" s="3"/>
      <x:c r="L30" s="3"/>
      <x:c r="M30" s="3"/>
    </x:row>
    <x:row r="31" ht="23" customHeight="1">
      <x:c r="A31" s="3"/>
      <x:c r="B31" s="3"/>
      <x:c r="C31" s="3"/>
      <x:c r="D31" s="3"/>
      <x:c r="E31" s="3"/>
      <x:c r="F31" s="3"/>
      <x:c r="G31" s="3"/>
      <x:c r="H31" s="3"/>
      <x:c r="I31" s="3"/>
      <x:c r="J31" s="3"/>
      <x:c r="K31" s="3"/>
      <x:c r="L31" s="3"/>
      <x:c r="M31" s="3"/>
    </x:row>
    <x:row r="32" ht="23" customHeight="1">
      <x:c r="A32" s="3"/>
      <x:c r="B32" s="3"/>
      <x:c r="C32" s="3"/>
      <x:c r="D32" s="3"/>
      <x:c r="E32" s="3"/>
      <x:c r="F32" s="3"/>
      <x:c r="G32" s="3"/>
      <x:c r="H32" s="3"/>
      <x:c r="I32" s="3"/>
      <x:c r="J32" s="3"/>
      <x:c r="K32" s="3"/>
      <x:c r="L32" s="3"/>
      <x:c r="M32" s="3"/>
    </x:row>
    <x:row r="33" ht="23" customHeight="1">
      <x:c r="A33" s="3"/>
      <x:c r="B33" s="3"/>
      <x:c r="C33" s="3"/>
      <x:c r="D33" s="3"/>
      <x:c r="E33" s="3"/>
      <x:c r="F33" s="3"/>
      <x:c r="G33" s="3"/>
      <x:c r="H33" s="3"/>
      <x:c r="I33" s="3"/>
      <x:c r="J33" s="3"/>
      <x:c r="K33" s="3"/>
      <x:c r="L33" s="3"/>
      <x:c r="M33" s="3"/>
    </x:row>
    <x:row r="34" ht="23" customHeight="1">
      <x:c r="A34" s="3"/>
      <x:c r="B34" s="3"/>
      <x:c r="C34" s="3"/>
      <x:c r="D34" s="3"/>
      <x:c r="E34" s="3"/>
      <x:c r="F34" s="3"/>
      <x:c r="G34" s="3"/>
      <x:c r="H34" s="3"/>
      <x:c r="I34" s="3"/>
      <x:c r="J34" s="3"/>
      <x:c r="K34" s="3"/>
      <x:c r="L34" s="3"/>
      <x:c r="M34" s="3"/>
    </x:row>
    <x:row r="35" ht="23" customHeight="1">
      <x:c r="A35" s="3"/>
      <x:c r="B35" s="3"/>
      <x:c r="C35" s="3"/>
      <x:c r="D35" s="3"/>
      <x:c r="E35" s="3"/>
      <x:c r="F35" s="3"/>
      <x:c r="G35" s="3"/>
      <x:c r="H35" s="3"/>
      <x:c r="I35" s="3"/>
      <x:c r="J35" s="3"/>
      <x:c r="K35" s="3"/>
      <x:c r="L35" s="3"/>
      <x:c r="M35" s="3"/>
    </x:row>
    <x:row r="36" ht="23" customHeight="1">
      <x:c r="A36" s="3"/>
      <x:c r="B36" s="3"/>
      <x:c r="C36" s="3"/>
      <x:c r="D36" s="3"/>
      <x:c r="E36" s="3"/>
      <x:c r="F36" s="3"/>
      <x:c r="G36" s="3"/>
      <x:c r="H36" s="3"/>
      <x:c r="I36" s="3"/>
      <x:c r="J36" s="3"/>
      <x:c r="K36" s="3"/>
      <x:c r="L36" s="3"/>
      <x:c r="M36" s="3"/>
    </x:row>
    <x:row r="37" ht="23" customHeight="1">
      <x:c r="A37" s="3"/>
      <x:c r="B37" s="3"/>
      <x:c r="C37" s="3"/>
      <x:c r="D37" s="3"/>
      <x:c r="E37" s="3"/>
      <x:c r="F37" s="3"/>
      <x:c r="G37" s="3"/>
      <x:c r="H37" s="3"/>
      <x:c r="I37" s="3"/>
      <x:c r="J37" s="3"/>
      <x:c r="K37" s="3"/>
      <x:c r="L37" s="3"/>
      <x:c r="M37" s="3"/>
    </x:row>
    <x:row r="38" ht="23" customHeight="1">
      <x:c r="A38" s="3"/>
      <x:c r="B38" s="3"/>
      <x:c r="C38" s="3"/>
      <x:c r="D38" s="3"/>
      <x:c r="E38" s="3"/>
      <x:c r="F38" s="3"/>
      <x:c r="G38" s="3"/>
      <x:c r="H38" s="3"/>
      <x:c r="I38" s="3"/>
      <x:c r="J38" s="3"/>
      <x:c r="K38" s="3"/>
      <x:c r="L38" s="3"/>
      <x:c r="M38" s="3"/>
    </x:row>
    <x:row r="39" ht="23" customHeight="1">
      <x:c r="A39" s="3"/>
      <x:c r="B39" s="3"/>
      <x:c r="C39" s="3"/>
      <x:c r="D39" s="3"/>
      <x:c r="E39" s="3"/>
      <x:c r="F39" s="3"/>
      <x:c r="G39" s="3"/>
      <x:c r="H39" s="3"/>
      <x:c r="I39" s="3"/>
      <x:c r="J39" s="3"/>
      <x:c r="K39" s="3"/>
      <x:c r="L39" s="3"/>
      <x:c r="M39" s="3"/>
    </x:row>
    <x:row r="40" ht="23" customHeight="1">
      <x:c r="A40" s="3"/>
      <x:c r="B40" s="3"/>
      <x:c r="C40" s="3"/>
      <x:c r="D40" s="3"/>
      <x:c r="E40" s="3"/>
      <x:c r="F40" s="3"/>
      <x:c r="G40" s="3"/>
      <x:c r="H40" s="3"/>
      <x:c r="I40" s="3"/>
      <x:c r="J40" s="3"/>
      <x:c r="K40" s="3"/>
      <x:c r="L40" s="3"/>
      <x:c r="M40" s="3"/>
    </x:row>
    <x:row r="41" ht="23" customHeight="1">
      <x:c r="A41" s="3"/>
      <x:c r="B41" s="3"/>
      <x:c r="C41" s="3"/>
      <x:c r="D41" s="3"/>
      <x:c r="E41" s="3"/>
      <x:c r="F41" s="3"/>
      <x:c r="G41" s="3"/>
      <x:c r="H41" s="3"/>
      <x:c r="I41" s="3"/>
      <x:c r="J41" s="3"/>
      <x:c r="K41" s="3"/>
      <x:c r="L41" s="3"/>
      <x:c r="M41" s="3"/>
    </x:row>
    <x:row r="42" ht="23" customHeight="1">
      <x:c r="A42" s="3"/>
      <x:c r="B42" s="3"/>
      <x:c r="C42" s="3"/>
      <x:c r="D42" s="3"/>
      <x:c r="E42" s="3"/>
      <x:c r="F42" s="3"/>
      <x:c r="G42" s="3"/>
      <x:c r="H42" s="3"/>
      <x:c r="I42" s="3"/>
      <x:c r="J42" s="3"/>
      <x:c r="K42" s="3"/>
      <x:c r="L42" s="3"/>
      <x:c r="M42" s="3"/>
    </x:row>
    <x:row r="43" ht="23" customHeight="1">
      <x:c r="A43" s="3"/>
      <x:c r="B43" s="3"/>
      <x:c r="C43" s="3"/>
      <x:c r="D43" s="3"/>
      <x:c r="E43" s="3"/>
      <x:c r="F43" s="3"/>
      <x:c r="G43" s="3"/>
      <x:c r="H43" s="3"/>
      <x:c r="I43" s="3"/>
      <x:c r="J43" s="3"/>
      <x:c r="K43" s="3"/>
      <x:c r="L43" s="3"/>
      <x:c r="M43" s="3"/>
    </x:row>
    <x:row r="44" ht="23" customHeight="1">
      <x:c r="A44" s="3"/>
      <x:c r="B44" s="3"/>
      <x:c r="C44" s="3"/>
      <x:c r="D44" s="3"/>
      <x:c r="E44" s="3"/>
      <x:c r="F44" s="3"/>
      <x:c r="G44" s="3"/>
      <x:c r="H44" s="3"/>
      <x:c r="I44" s="3"/>
      <x:c r="J44" s="3"/>
      <x:c r="K44" s="3"/>
      <x:c r="L44" s="3"/>
      <x:c r="M44" s="3"/>
    </x:row>
    <x:row r="45" ht="23" customHeight="1">
      <x:c r="A45" s="3"/>
      <x:c r="B45" s="3"/>
      <x:c r="C45" s="3"/>
      <x:c r="D45" s="3"/>
      <x:c r="E45" s="3"/>
      <x:c r="F45" s="3"/>
      <x:c r="G45" s="3"/>
      <x:c r="H45" s="3"/>
      <x:c r="I45" s="3"/>
      <x:c r="J45" s="3"/>
      <x:c r="K45" s="3"/>
      <x:c r="L45" s="3"/>
      <x:c r="M45" s="3"/>
    </x:row>
    <x:row r="46" ht="23" customHeight="1">
      <x:c r="A46" s="3"/>
      <x:c r="B46" s="3"/>
      <x:c r="C46" s="3"/>
      <x:c r="D46" s="3"/>
      <x:c r="E46" s="3"/>
      <x:c r="F46" s="3"/>
      <x:c r="G46" s="3"/>
      <x:c r="H46" s="3"/>
      <x:c r="I46" s="3"/>
      <x:c r="J46" s="3"/>
      <x:c r="K46" s="3"/>
      <x:c r="L46" s="3"/>
      <x:c r="M46" s="3"/>
    </x:row>
    <x:row r="47" ht="23" customHeight="1">
      <x:c r="A47" s="3"/>
      <x:c r="B47" s="3"/>
      <x:c r="C47" s="3"/>
      <x:c r="D47" s="3"/>
      <x:c r="E47" s="3"/>
      <x:c r="F47" s="3"/>
      <x:c r="G47" s="3"/>
      <x:c r="H47" s="3"/>
      <x:c r="I47" s="3"/>
      <x:c r="J47" s="3"/>
      <x:c r="K47" s="3"/>
      <x:c r="L47" s="3"/>
      <x:c r="M47" s="3"/>
    </x:row>
    <x:row r="48" ht="23" customHeight="1">
      <x:c r="A48" s="3"/>
      <x:c r="B48" s="3"/>
      <x:c r="C48" s="3"/>
      <x:c r="D48" s="3"/>
      <x:c r="E48" s="3"/>
      <x:c r="F48" s="3"/>
      <x:c r="G48" s="3"/>
      <x:c r="H48" s="3"/>
      <x:c r="I48" s="3"/>
      <x:c r="J48" s="3"/>
      <x:c r="K48" s="3"/>
      <x:c r="L48" s="3"/>
      <x:c r="M48" s="3"/>
    </x:row>
    <x:row r="49" ht="23" customHeight="1">
      <x:c r="A49" s="3"/>
      <x:c r="B49" s="3"/>
      <x:c r="C49" s="3"/>
      <x:c r="D49" s="3"/>
      <x:c r="E49" s="3"/>
      <x:c r="F49" s="3"/>
      <x:c r="G49" s="3"/>
      <x:c r="H49" s="3"/>
      <x:c r="I49" s="3"/>
      <x:c r="J49" s="3"/>
      <x:c r="K49" s="3"/>
      <x:c r="L49" s="3"/>
      <x:c r="M49" s="3"/>
    </x:row>
    <x:row r="50" ht="23" customHeight="1">
      <x:c r="A50" s="3"/>
      <x:c r="B50" s="3"/>
      <x:c r="C50" s="3"/>
      <x:c r="D50" s="3"/>
      <x:c r="E50" s="3"/>
      <x:c r="F50" s="3"/>
      <x:c r="G50" s="3"/>
      <x:c r="H50" s="3"/>
      <x:c r="I50" s="3"/>
      <x:c r="J50" s="3"/>
      <x:c r="K50" s="3"/>
      <x:c r="L50" s="3"/>
      <x:c r="M50" s="3"/>
    </x:row>
    <x:row r="51" ht="23" customHeight="1">
      <x:c r="A51" s="3"/>
      <x:c r="B51" s="3"/>
      <x:c r="C51" s="3"/>
      <x:c r="D51" s="3"/>
      <x:c r="E51" s="3"/>
      <x:c r="F51" s="3"/>
      <x:c r="G51" s="3"/>
      <x:c r="H51" s="3"/>
      <x:c r="I51" s="3"/>
      <x:c r="J51" s="3"/>
      <x:c r="K51" s="3"/>
      <x:c r="L51" s="3"/>
      <x:c r="M51" s="3"/>
    </x:row>
    <x:row r="52" ht="23" customHeight="1">
      <x:c r="A52" s="3"/>
      <x:c r="B52" s="3"/>
      <x:c r="C52" s="3"/>
      <x:c r="D52" s="3"/>
      <x:c r="E52" s="3"/>
      <x:c r="F52" s="3"/>
      <x:c r="G52" s="3"/>
      <x:c r="H52" s="3"/>
      <x:c r="I52" s="3"/>
      <x:c r="J52" s="3"/>
      <x:c r="K52" s="3"/>
      <x:c r="L52" s="3"/>
      <x:c r="M52" s="3"/>
    </x:row>
    <x:row r="53" ht="23" customHeight="1">
      <x:c r="A53" s="3"/>
      <x:c r="B53" s="3"/>
      <x:c r="C53" s="3"/>
      <x:c r="D53" s="3"/>
      <x:c r="E53" s="3"/>
      <x:c r="F53" s="3"/>
      <x:c r="G53" s="3"/>
      <x:c r="H53" s="3"/>
      <x:c r="I53" s="3"/>
      <x:c r="J53" s="3"/>
      <x:c r="K53" s="3"/>
      <x:c r="L53" s="3"/>
      <x:c r="M53" s="3"/>
    </x:row>
    <x:row r="54" ht="23" customHeight="1">
      <x:c r="A54" s="3"/>
      <x:c r="B54" s="3"/>
      <x:c r="C54" s="3"/>
      <x:c r="D54" s="3"/>
      <x:c r="E54" s="3"/>
      <x:c r="F54" s="3"/>
      <x:c r="G54" s="3"/>
      <x:c r="H54" s="3"/>
      <x:c r="I54" s="3"/>
      <x:c r="J54" s="3"/>
      <x:c r="K54" s="3"/>
      <x:c r="L54" s="3"/>
      <x:c r="M54" s="3"/>
    </x:row>
    <x:row r="55" ht="23" customHeight="1">
      <x:c r="A55" s="3"/>
      <x:c r="B55" s="3"/>
      <x:c r="C55" s="3"/>
      <x:c r="D55" s="3"/>
      <x:c r="E55" s="3"/>
      <x:c r="F55" s="3"/>
      <x:c r="G55" s="3"/>
      <x:c r="H55" s="3"/>
      <x:c r="I55" s="3"/>
      <x:c r="J55" s="3"/>
      <x:c r="K55" s="3"/>
      <x:c r="L55" s="3"/>
      <x:c r="M55" s="3"/>
    </x:row>
    <x:row r="56" ht="23" customHeight="1">
      <x:c r="A56" s="3"/>
      <x:c r="B56" s="3"/>
      <x:c r="C56" s="3"/>
      <x:c r="D56" s="3"/>
      <x:c r="E56" s="3"/>
      <x:c r="F56" s="3"/>
      <x:c r="G56" s="3"/>
      <x:c r="H56" s="3"/>
      <x:c r="I56" s="3"/>
      <x:c r="J56" s="3"/>
      <x:c r="K56" s="3"/>
      <x:c r="L56" s="3"/>
      <x:c r="M56" s="3"/>
    </x:row>
    <x:row r="57" ht="23" customHeight="1">
      <x:c r="A57" s="3"/>
      <x:c r="B57" s="3"/>
      <x:c r="C57" s="3"/>
      <x:c r="D57" s="3"/>
      <x:c r="E57" s="3"/>
      <x:c r="F57" s="3"/>
      <x:c r="G57" s="3"/>
      <x:c r="H57" s="3"/>
      <x:c r="I57" s="3"/>
      <x:c r="J57" s="3"/>
      <x:c r="K57" s="3"/>
      <x:c r="L57" s="3"/>
      <x:c r="M57" s="3"/>
    </x:row>
    <x:row r="58" ht="23" customHeight="1">
      <x:c r="A58" s="3"/>
      <x:c r="B58" s="3"/>
      <x:c r="C58" s="3"/>
      <x:c r="D58" s="3"/>
      <x:c r="E58" s="3"/>
      <x:c r="F58" s="3"/>
      <x:c r="G58" s="3"/>
      <x:c r="H58" s="3"/>
      <x:c r="I58" s="3"/>
      <x:c r="J58" s="3"/>
      <x:c r="K58" s="3"/>
      <x:c r="L58" s="3"/>
      <x:c r="M58" s="3"/>
    </x:row>
    <x:row r="59" ht="23" customHeight="1">
      <x:c r="A59" s="3"/>
      <x:c r="B59" s="3"/>
      <x:c r="C59" s="3"/>
      <x:c r="D59" s="3"/>
      <x:c r="E59" s="3"/>
      <x:c r="F59" s="3"/>
      <x:c r="G59" s="3"/>
      <x:c r="H59" s="3"/>
      <x:c r="I59" s="3"/>
      <x:c r="J59" s="3"/>
      <x:c r="K59" s="3"/>
      <x:c r="L59" s="3"/>
      <x:c r="M59" s="3"/>
    </x:row>
    <x:row r="60" ht="23" customHeight="1">
      <x:c r="A60" s="3"/>
      <x:c r="B60" s="3"/>
      <x:c r="C60" s="3"/>
      <x:c r="D60" s="3"/>
      <x:c r="E60" s="3"/>
      <x:c r="F60" s="3"/>
      <x:c r="G60" s="3"/>
      <x:c r="H60" s="3"/>
      <x:c r="I60" s="3"/>
      <x:c r="J60" s="3"/>
      <x:c r="K60" s="3"/>
      <x:c r="L60" s="3"/>
      <x:c r="M60" s="3"/>
    </x:row>
    <x:row r="61" ht="23" customHeight="1">
      <x:c r="A61" s="3"/>
      <x:c r="B61" s="3"/>
      <x:c r="C61" s="3"/>
      <x:c r="D61" s="3"/>
      <x:c r="E61" s="3"/>
      <x:c r="F61" s="3"/>
      <x:c r="G61" s="3"/>
      <x:c r="H61" s="3"/>
      <x:c r="I61" s="3"/>
      <x:c r="J61" s="3"/>
      <x:c r="K61" s="3"/>
      <x:c r="L61" s="3"/>
      <x:c r="M61" s="3"/>
    </x:row>
    <x:row r="62" ht="23" customHeight="1">
      <x:c r="A62" s="3"/>
      <x:c r="B62" s="3"/>
      <x:c r="C62" s="3"/>
      <x:c r="D62" s="3"/>
      <x:c r="E62" s="3"/>
      <x:c r="F62" s="3"/>
      <x:c r="G62" s="3"/>
      <x:c r="H62" s="3"/>
      <x:c r="I62" s="3"/>
      <x:c r="J62" s="3"/>
      <x:c r="K62" s="3"/>
      <x:c r="L62" s="3"/>
      <x:c r="M62" s="3"/>
    </x:row>
    <x:row r="63" ht="23" customHeight="1">
      <x:c r="A63" s="3"/>
      <x:c r="B63" s="3"/>
      <x:c r="C63" s="3"/>
      <x:c r="D63" s="3"/>
      <x:c r="E63" s="3"/>
      <x:c r="F63" s="3"/>
      <x:c r="G63" s="3"/>
      <x:c r="H63" s="3"/>
      <x:c r="I63" s="3"/>
      <x:c r="J63" s="3"/>
      <x:c r="K63" s="3"/>
      <x:c r="L63" s="3"/>
      <x:c r="M63" s="3"/>
    </x:row>
    <x:row r="64" ht="23" customHeight="1">
      <x:c r="A64" s="3"/>
      <x:c r="B64" s="3"/>
      <x:c r="C64" s="3"/>
      <x:c r="D64" s="3"/>
      <x:c r="E64" s="3"/>
      <x:c r="F64" s="3"/>
      <x:c r="G64" s="3"/>
      <x:c r="H64" s="3"/>
      <x:c r="I64" s="3"/>
      <x:c r="J64" s="3"/>
      <x:c r="K64" s="3"/>
      <x:c r="L64" s="3"/>
      <x:c r="M64" s="3"/>
    </x:row>
    <x:row r="65" ht="23" customHeight="1">
      <x:c r="A65" s="3"/>
      <x:c r="B65" s="3"/>
      <x:c r="C65" s="3"/>
      <x:c r="D65" s="3"/>
      <x:c r="E65" s="3"/>
      <x:c r="F65" s="3"/>
      <x:c r="G65" s="3"/>
      <x:c r="H65" s="3"/>
      <x:c r="I65" s="3"/>
      <x:c r="J65" s="3"/>
      <x:c r="K65" s="3"/>
      <x:c r="L65" s="3"/>
      <x:c r="M65" s="3"/>
    </x:row>
  </x:sheetData>
  <x:mergeCells>
    <x:mergeCell ref="A1:F2"/>
    <x:mergeCell ref="A3:F3"/>
    <x:mergeCell ref="A5:F5"/>
    <x:mergeCell ref="A14:F14"/>
    <x:mergeCell ref="A23:F25"/>
  </x:mergeCells>
  <x:conditionalFormatting sqref="B7:F11">
    <x:cfRule type="colorScale" priority="1">
      <x:colorScale>
        <x:cfvo type="min"/>
        <x:cfvo type="percentile" val="50"/>
        <x:cfvo type="max"/>
        <x:color rgb="FFFBE7E5"/>
        <x:color rgb="FFFFF2CC"/>
        <x:color rgb="FFD8EDE4"/>
      </x:colorScale>
    </x:cfRule>
  </x:conditionalFormatting>
  <x:conditionalFormatting sqref="B16:F20">
    <x:cfRule type="colorScale" priority="2">
      <x:colorScale>
        <x:cfvo type="min"/>
        <x:cfvo type="percentile" val="50"/>
        <x:cfvo type="max"/>
        <x:color rgb="FFFBE7E5"/>
        <x:color rgb="FFFFF2CC"/>
        <x:color rgb="FFD8EDE4"/>
      </x:colorScale>
    </x:cfRule>
  </x:conditionalFormatting>
  <x:pageMargins left="0.7" right="0.7" top="0.75" bottom="0.75" header="0.3" footer="0.3"/>
  <x:legacyDrawing xmlns:r="http://schemas.openxmlformats.org/officeDocument/2006/relationships" r:id="Rd4c82644ab444ed7"/>
</x:worksheet>
</file>

<file path=xl/worksheets/sheet7.xml><?xml version="1.0" encoding="utf-8"?>
<x:worksheet xmlns:x="http://schemas.openxmlformats.org/spreadsheetml/2006/main">
  <x:sheetFormatPr defaultRowHeight="15"/>
  <x:cols>
    <x:col min="1" max="1" width="39" hidden="0" customWidth="1"/>
    <x:col min="2" max="2" width="17" hidden="0" customWidth="1"/>
    <x:col min="3" max="3" width="17" hidden="0" customWidth="1"/>
    <x:col min="4" max="4" width="17" hidden="0" customWidth="1"/>
    <x:col min="5" max="5" width="40" hidden="0" customWidth="1"/>
  </x:cols>
  <x:sheetData>
    <x:row r="1" ht="23" customHeight="1">
      <x:c r="A1" s="8" t="str">
        <x:v>NGÂN SÁCH ĐẦU TƯ &amp; NGUỒN TIỀN</x:v>
      </x:c>
      <x:c r="B1" s="8"/>
      <x:c r="C1" s="8"/>
      <x:c r="D1" s="8"/>
      <x:c r="E1" s="8"/>
      <x:c r="F1" s="3"/>
      <x:c r="G1" s="3"/>
      <x:c r="H1" s="3"/>
      <x:c r="I1" s="3"/>
      <x:c r="J1" s="3"/>
      <x:c r="K1" s="3"/>
      <x:c r="L1" s="3"/>
      <x:c r="M1" s="3"/>
    </x:row>
    <x:row r="2" ht="23" customHeight="1">
      <x:c r="A2" s="8"/>
      <x:c r="B2" s="8"/>
      <x:c r="C2" s="8"/>
      <x:c r="D2" s="8"/>
      <x:c r="E2" s="8"/>
      <x:c r="F2" s="3"/>
      <x:c r="G2" s="3"/>
      <x:c r="H2" s="3"/>
      <x:c r="I2" s="3"/>
      <x:c r="J2" s="3"/>
      <x:c r="K2" s="3"/>
      <x:c r="L2" s="3"/>
      <x:c r="M2" s="3"/>
    </x:row>
    <x:row r="3" ht="32" customHeight="1">
      <x:c r="A3" s="13" t="str">
        <x:v>Triệu đồng | Dự toán sơ bộ cho 500 m² | Chưa có khảo sát hay báo giá nhà thầu</x:v>
      </x:c>
      <x:c r="B3" s="13"/>
      <x:c r="C3" s="13"/>
      <x:c r="D3" s="13"/>
      <x:c r="E3" s="13"/>
      <x:c r="F3" s="3"/>
      <x:c r="G3" s="3"/>
      <x:c r="H3" s="3"/>
      <x:c r="I3" s="3"/>
      <x:c r="J3" s="3"/>
      <x:c r="K3" s="3"/>
      <x:c r="L3" s="3"/>
      <x:c r="M3" s="3"/>
    </x:row>
    <x:row r="4" ht="30" customHeight="1">
      <x:c r="A4" s="18" t="str">
        <x:v>Hạng mục</x:v>
      </x:c>
      <x:c r="B4" s="18" t="str">
        <x:v>Thấp</x:v>
      </x:c>
      <x:c r="C4" s="18" t="str">
        <x:v>Cơ sở</x:v>
      </x:c>
      <x:c r="D4" s="18" t="str">
        <x:v>Cao</x:v>
      </x:c>
      <x:c r="E4" s="18" t="str">
        <x:v>Điều kiện / phạm vi</x:v>
      </x:c>
      <x:c r="F4" s="3"/>
      <x:c r="G4" s="3"/>
      <x:c r="H4" s="3"/>
      <x:c r="I4" s="3"/>
      <x:c r="J4" s="3"/>
      <x:c r="K4" s="3"/>
      <x:c r="L4" s="3"/>
      <x:c r="M4" s="3"/>
    </x:row>
    <x:row r="5" ht="52" customHeight="1">
      <x:c r="A5" s="22" t="str">
        <x:v>Khảo sát, pháp lý, thiết kế</x:v>
      </x:c>
      <x:c r="B5" s="74" t="n">
        <x:v>120</x:v>
      </x:c>
      <x:c r="C5" s="75" t="n">
        <x:f>AVERAGE(B5,D5)</x:f>
        <x:v>160</x:v>
      </x:c>
      <x:c r="D5" s="74" t="n">
        <x:v>200</x:v>
      </x:c>
      <x:c r="E5" s="22" t="str">
        <x:v>Không suy ra cơ sở đủ điều kiện từ số tiền dự trù.</x:v>
      </x:c>
      <x:c r="F5" s="3"/>
      <x:c r="G5" s="3"/>
      <x:c r="H5" s="3"/>
      <x:c r="I5" s="3"/>
      <x:c r="J5" s="3"/>
      <x:c r="K5" s="3"/>
      <x:c r="L5" s="3"/>
      <x:c r="M5" s="3"/>
    </x:row>
    <x:row r="6" ht="52" customHeight="1">
      <x:c r="A6" s="22" t="str">
        <x:v>Cải tạo, điện nước, điều hòa, tiếp cận</x:v>
      </x:c>
      <x:c r="B6" s="74" t="n">
        <x:v>800</x:v>
      </x:c>
      <x:c r="C6" s="75" t="n">
        <x:f>AVERAGE(B6,D6)</x:f>
        <x:v>1050</x:v>
      </x:c>
      <x:c r="D6" s="74" t="n">
        <x:v>1300</x:v>
      </x:c>
      <x:c r="E6" s="22" t="str">
        <x:v>Phụ thuộc lớn vào hiện trạng, công năng và phần việc thuộc chủ tòa nhà.</x:v>
      </x:c>
      <x:c r="F6" s="3"/>
      <x:c r="G6" s="3"/>
      <x:c r="H6" s="3"/>
      <x:c r="I6" s="3"/>
      <x:c r="J6" s="3"/>
      <x:c r="K6" s="3"/>
      <x:c r="L6" s="3"/>
      <x:c r="M6" s="3"/>
    </x:row>
    <x:row r="7" ht="52" customHeight="1">
      <x:c r="A7" s="22" t="str">
        <x:v>Nội thất, bàn ghế, tủ</x:v>
      </x:c>
      <x:c r="B7" s="74" t="n">
        <x:v>450</x:v>
      </x:c>
      <x:c r="C7" s="75" t="n">
        <x:f>AVERAGE(B7,D7)</x:f>
        <x:v>550</x:v>
      </x:c>
      <x:c r="D7" s="74" t="n">
        <x:v>650</x:v>
      </x:c>
      <x:c r="E7" s="22" t="str">
        <x:v>Ưu tiên ghế có tay vịn, ổn định và dễ vệ sinh; không lấy thẩm mỹ làm ưu tiên duy nhất.</x:v>
      </x:c>
      <x:c r="F7" s="3"/>
      <x:c r="G7" s="3"/>
      <x:c r="H7" s="3"/>
      <x:c r="I7" s="3"/>
      <x:c r="J7" s="3"/>
      <x:c r="K7" s="3"/>
      <x:c r="L7" s="3"/>
      <x:c r="M7" s="3"/>
    </x:row>
    <x:row r="8" ht="52" customHeight="1">
      <x:c r="A8" s="22" t="str">
        <x:v>Thiết bị sinh hoạt, học tập</x:v>
      </x:c>
      <x:c r="B8" s="74" t="n">
        <x:v>120</x:v>
      </x:c>
      <x:c r="C8" s="75" t="n">
        <x:f>AVERAGE(B8,D8)</x:f>
        <x:v>160</x:v>
      </x:c>
      <x:c r="D8" s="74" t="n">
        <x:v>200</x:v>
      </x:c>
      <x:c r="E8" s="22" t="str">
        <x:v>Không gồm thiết bị điều trị y tế.</x:v>
      </x:c>
      <x:c r="F8" s="3"/>
      <x:c r="G8" s="3"/>
      <x:c r="H8" s="3"/>
      <x:c r="I8" s="3"/>
      <x:c r="J8" s="3"/>
      <x:c r="K8" s="3"/>
      <x:c r="L8" s="3"/>
      <x:c r="M8" s="3"/>
    </x:row>
    <x:row r="9" ht="52" customHeight="1">
      <x:c r="A9" s="22" t="str">
        <x:v>Pantry và phục vụ ăn nhẹ</x:v>
      </x:c>
      <x:c r="B9" s="74" t="n">
        <x:v>60</x:v>
      </x:c>
      <x:c r="C9" s="75" t="n">
        <x:f>AVERAGE(B9,D9)</x:f>
        <x:v>90</x:v>
      </x:c>
      <x:c r="D9" s="74" t="n">
        <x:v>120</x:v>
      </x:c>
      <x:c r="E9" s="22" t="str">
        <x:v>Không mặc định lắp bếp nấu thương mại.</x:v>
      </x:c>
      <x:c r="F9" s="3"/>
      <x:c r="G9" s="3"/>
      <x:c r="H9" s="3"/>
      <x:c r="I9" s="3"/>
      <x:c r="J9" s="3"/>
      <x:c r="K9" s="3"/>
      <x:c r="L9" s="3"/>
      <x:c r="M9" s="3"/>
    </x:row>
    <x:row r="10" ht="52" customHeight="1">
      <x:c r="A10" s="22" t="str">
        <x:v>An toàn, hệ thống CNTT</x:v>
      </x:c>
      <x:c r="B10" s="74" t="n">
        <x:v>100</x:v>
      </x:c>
      <x:c r="C10" s="75" t="n">
        <x:f>AVERAGE(B10,D10)</x:f>
        <x:v>140</x:v>
      </x:c>
      <x:c r="D10" s="74" t="n">
        <x:v>180</x:v>
      </x:c>
      <x:c r="E10" s="22" t="str">
        <x:v>Không mặc định đủ để cải tạo toàn bộ hệ thống PCCC của tòa nhà.</x:v>
      </x:c>
      <x:c r="F10" s="3"/>
      <x:c r="G10" s="3"/>
      <x:c r="H10" s="3"/>
      <x:c r="I10" s="3"/>
      <x:c r="J10" s="3"/>
      <x:c r="K10" s="3"/>
      <x:c r="L10" s="3"/>
      <x:c r="M10" s="3"/>
    </x:row>
    <x:row r="11" ht="52" customHeight="1">
      <x:c r="A11" s="22" t="str">
        <x:v>Tuyển dụng, đào tạo, khai trương</x:v>
      </x:c>
      <x:c r="B11" s="74" t="n">
        <x:v>80</x:v>
      </x:c>
      <x:c r="C11" s="75" t="n">
        <x:f>AVERAGE(B11,D11)</x:f>
        <x:v>115</x:v>
      </x:c>
      <x:c r="D11" s="74" t="n">
        <x:v>150</x:v>
      </x:c>
      <x:c r="E11" s="22" t="str">
        <x:v>Cần tránh tính trùng khoản đã phát sinh ở thử nghiệm.</x:v>
      </x:c>
      <x:c r="F11" s="3"/>
      <x:c r="G11" s="3"/>
      <x:c r="H11" s="3"/>
      <x:c r="I11" s="3"/>
      <x:c r="J11" s="3"/>
      <x:c r="K11" s="3"/>
      <x:c r="L11" s="3"/>
      <x:c r="M11" s="3"/>
    </x:row>
    <x:row r="12" ht="23" customHeight="1">
      <x:c r="A12" s="80" t="str">
        <x:v>Tổng trước dự phòng</x:v>
      </x:c>
      <x:c r="B12" s="45" t="n">
        <x:f>SUM(B5:B11)</x:f>
        <x:v>1730</x:v>
      </x:c>
      <x:c r="C12" s="45" t="n">
        <x:f>SUM(C5:C11)</x:f>
        <x:v>2265</x:v>
      </x:c>
      <x:c r="D12" s="45" t="n">
        <x:f>SUM(D5:D11)</x:f>
        <x:v>2800</x:v>
      </x:c>
      <x:c r="E12" s="78"/>
      <x:c r="F12" s="3"/>
      <x:c r="G12" s="3"/>
      <x:c r="H12" s="3"/>
      <x:c r="I12" s="3"/>
      <x:c r="J12" s="3"/>
      <x:c r="K12" s="3"/>
      <x:c r="L12" s="3"/>
      <x:c r="M12" s="3"/>
    </x:row>
    <x:row r="13" ht="23" customHeight="1">
      <x:c r="A13" s="3" t="str">
        <x:v>Dự phòng đầu tư</x:v>
      </x:c>
      <x:c r="B13" s="38" t="n">
        <x:f>B12*'Gia_dinh'!$C$27</x:f>
        <x:v>259.5</x:v>
      </x:c>
      <x:c r="C13" s="38" t="n">
        <x:f>C12*'Gia_dinh'!$C$27</x:f>
        <x:v>339.75</x:v>
      </x:c>
      <x:c r="D13" s="38" t="n">
        <x:f>D12*'Gia_dinh'!$C$27</x:f>
        <x:v>420</x:v>
      </x:c>
      <x:c r="E13" s="3"/>
      <x:c r="F13" s="3"/>
      <x:c r="G13" s="3"/>
      <x:c r="H13" s="3"/>
      <x:c r="I13" s="3"/>
      <x:c r="J13" s="3"/>
      <x:c r="K13" s="3"/>
      <x:c r="L13" s="3"/>
      <x:c r="M13" s="3"/>
    </x:row>
    <x:row r="14" ht="23" customHeight="1">
      <x:c r="A14" s="80" t="str">
        <x:v>Tổng CAPEX</x:v>
      </x:c>
      <x:c r="B14" s="45" t="n">
        <x:f>SUM(B12:B13)</x:f>
        <x:v>1989.5</x:v>
      </x:c>
      <x:c r="C14" s="45" t="n">
        <x:f>SUM(C12:C13)</x:f>
        <x:v>2604.75</x:v>
      </x:c>
      <x:c r="D14" s="45" t="n">
        <x:f>SUM(D12:D13)</x:f>
        <x:v>3220</x:v>
      </x:c>
      <x:c r="E14" s="78"/>
      <x:c r="F14" s="3"/>
      <x:c r="G14" s="3"/>
      <x:c r="H14" s="3"/>
      <x:c r="I14" s="3"/>
      <x:c r="J14" s="3"/>
      <x:c r="K14" s="3"/>
      <x:c r="L14" s="3"/>
      <x:c r="M14" s="3"/>
    </x:row>
    <x:row r="15" ht="23" customHeight="1">
      <x:c r="A15" s="3" t="str"/>
      <x:c r="B15" s="36"/>
      <x:c r="C15" s="36"/>
      <x:c r="D15" s="36"/>
      <x:c r="E15" s="3"/>
      <x:c r="F15" s="3"/>
      <x:c r="G15" s="3"/>
      <x:c r="H15" s="3"/>
      <x:c r="I15" s="3"/>
      <x:c r="J15" s="3"/>
      <x:c r="K15" s="3"/>
      <x:c r="L15" s="3"/>
      <x:c r="M15" s="3"/>
    </x:row>
    <x:row r="16" ht="23" customHeight="1">
      <x:c r="A16" s="3" t="str">
        <x:v>Cọc thuê</x:v>
      </x:c>
      <x:c r="B16" s="38" t="n">
        <x:f>'Gia_dinh'!$C$16*'Gia_dinh'!$C$26</x:f>
        <x:v>180</x:v>
      </x:c>
      <x:c r="C16" s="38" t="n">
        <x:f>'Gia_dinh'!$C$16*'Gia_dinh'!$C$26</x:f>
        <x:v>180</x:v>
      </x:c>
      <x:c r="D16" s="38" t="n">
        <x:f>'Gia_dinh'!$C$16*'Gia_dinh'!$C$26</x:f>
        <x:v>180</x:v>
      </x:c>
      <x:c r="E16" s="3"/>
      <x:c r="F16" s="3"/>
      <x:c r="G16" s="3"/>
      <x:c r="H16" s="3"/>
      <x:c r="I16" s="3"/>
      <x:c r="J16" s="3"/>
      <x:c r="K16" s="3"/>
      <x:c r="L16" s="3"/>
      <x:c r="M16" s="3"/>
    </x:row>
    <x:row r="17" ht="23" customHeight="1">
      <x:c r="A17" s="3" t="str">
        <x:v>Vốn lưu động ban đầu</x:v>
      </x:c>
      <x:c r="B17" s="38" t="n">
        <x:f>'Gia_dinh'!B43</x:f>
        <x:v>900</x:v>
      </x:c>
      <x:c r="C17" s="38" t="n">
        <x:f>'Gia_dinh'!C43</x:f>
        <x:v>1100</x:v>
      </x:c>
      <x:c r="D17" s="38" t="n">
        <x:f>'Gia_dinh'!D43</x:f>
        <x:v>1300</x:v>
      </x:c>
      <x:c r="E17" s="3"/>
      <x:c r="F17" s="3"/>
      <x:c r="G17" s="3"/>
      <x:c r="H17" s="3"/>
      <x:c r="I17" s="3"/>
      <x:c r="J17" s="3"/>
      <x:c r="K17" s="3"/>
      <x:c r="L17" s="3"/>
      <x:c r="M17" s="3"/>
    </x:row>
    <x:row r="18" ht="23" customHeight="1">
      <x:c r="A18" s="80" t="str">
        <x:v>Tổng nguồn tiền cần chuẩn bị</x:v>
      </x:c>
      <x:c r="B18" s="45" t="n">
        <x:f>B14+SUM(B16:B17)</x:f>
        <x:v>3069.5</x:v>
      </x:c>
      <x:c r="C18" s="45" t="n">
        <x:f>C14+SUM(C16:C17)</x:f>
        <x:v>3884.75</x:v>
      </x:c>
      <x:c r="D18" s="45" t="n">
        <x:f>D14+SUM(D16:D17)</x:f>
        <x:v>4700</x:v>
      </x:c>
      <x:c r="E18" s="78"/>
      <x:c r="F18" s="3"/>
      <x:c r="G18" s="3"/>
      <x:c r="H18" s="3"/>
      <x:c r="I18" s="3"/>
      <x:c r="J18" s="3"/>
      <x:c r="K18" s="3"/>
      <x:c r="L18" s="3"/>
      <x:c r="M18" s="3"/>
    </x:row>
    <x:row r="19" ht="23" customHeight="1">
      <x:c r="A19" s="3" t="str"/>
      <x:c r="B19" s="3"/>
      <x:c r="C19" s="3"/>
      <x:c r="D19" s="3"/>
      <x:c r="E19" s="3"/>
      <x:c r="F19" s="3"/>
      <x:c r="G19" s="3"/>
      <x:c r="H19" s="3"/>
      <x:c r="I19" s="3"/>
      <x:c r="J19" s="3"/>
      <x:c r="K19" s="3"/>
      <x:c r="L19" s="3"/>
      <x:c r="M19" s="3"/>
    </x:row>
    <x:row r="20" ht="23" customHeight="1">
      <x:c r="A20" s="3" t="str">
        <x:v>Ghi chú</x:v>
      </x:c>
      <x:c r="B20" s="3"/>
      <x:c r="C20" s="3"/>
      <x:c r="D20" s="3"/>
      <x:c r="E20" s="3"/>
      <x:c r="F20" s="3"/>
      <x:c r="G20" s="3"/>
      <x:c r="H20" s="3"/>
      <x:c r="I20" s="3"/>
      <x:c r="J20" s="3"/>
      <x:c r="K20" s="3"/>
      <x:c r="L20" s="3"/>
      <x:c r="M20" s="3"/>
    </x:row>
    <x:row r="21" ht="28" customHeight="1">
      <x:c r="A21" s="62" t="str">
        <x:v>Không gồm mua bất động sản, VAT không được khấu trừ, lãi vay, chi phí giải quyết sai phạm công trình hoặc nâng cấp lớn toàn tòa nhà. Tổng vốn không chứng minh phương án được phép triển khai. Cọc là tiền bị khóa, không phải chi phí kết quả kinh doanh.</x:v>
      </x:c>
      <x:c r="B21" s="62"/>
      <x:c r="C21" s="62"/>
      <x:c r="D21" s="62"/>
      <x:c r="E21" s="62"/>
      <x:c r="F21" s="3"/>
      <x:c r="G21" s="3"/>
      <x:c r="H21" s="3"/>
      <x:c r="I21" s="3"/>
      <x:c r="J21" s="3"/>
      <x:c r="K21" s="3"/>
      <x:c r="L21" s="3"/>
      <x:c r="M21" s="3"/>
    </x:row>
    <x:row r="22" ht="28" customHeight="1">
      <x:c r="A22" s="62"/>
      <x:c r="B22" s="62"/>
      <x:c r="C22" s="62"/>
      <x:c r="D22" s="62"/>
      <x:c r="E22" s="62"/>
      <x:c r="F22" s="3"/>
      <x:c r="G22" s="3"/>
      <x:c r="H22" s="3"/>
      <x:c r="I22" s="3"/>
      <x:c r="J22" s="3"/>
      <x:c r="K22" s="3"/>
      <x:c r="L22" s="3"/>
      <x:c r="M22" s="3"/>
    </x:row>
    <x:row r="23" ht="28" customHeight="1">
      <x:c r="A23" s="62"/>
      <x:c r="B23" s="62"/>
      <x:c r="C23" s="62"/>
      <x:c r="D23" s="62"/>
      <x:c r="E23" s="62"/>
      <x:c r="F23" s="3"/>
      <x:c r="G23" s="3"/>
      <x:c r="H23" s="3"/>
      <x:c r="I23" s="3"/>
      <x:c r="J23" s="3"/>
      <x:c r="K23" s="3"/>
      <x:c r="L23" s="3"/>
      <x:c r="M23" s="3"/>
    </x:row>
    <x:row r="24" ht="23" customHeight="1">
      <x:c r="A24" s="3"/>
      <x:c r="B24" s="3"/>
      <x:c r="C24" s="3"/>
      <x:c r="D24" s="3"/>
      <x:c r="E24" s="3"/>
      <x:c r="F24" s="3"/>
      <x:c r="G24" s="3"/>
      <x:c r="H24" s="3"/>
      <x:c r="I24" s="3"/>
      <x:c r="J24" s="3"/>
      <x:c r="K24" s="3"/>
      <x:c r="L24" s="3"/>
      <x:c r="M24" s="3"/>
    </x:row>
    <x:row r="25" ht="23" customHeight="1">
      <x:c r="A25" s="3"/>
      <x:c r="B25" s="3"/>
      <x:c r="C25" s="3"/>
      <x:c r="D25" s="3"/>
      <x:c r="E25" s="3"/>
      <x:c r="F25" s="3"/>
      <x:c r="G25" s="3"/>
      <x:c r="H25" s="3"/>
      <x:c r="I25" s="3"/>
      <x:c r="J25" s="3"/>
      <x:c r="K25" s="3"/>
      <x:c r="L25" s="3"/>
      <x:c r="M25" s="3"/>
    </x:row>
    <x:row r="26" ht="23" customHeight="1">
      <x:c r="A26" s="3"/>
      <x:c r="B26" s="3"/>
      <x:c r="C26" s="3"/>
      <x:c r="D26" s="3"/>
      <x:c r="E26" s="3"/>
      <x:c r="F26" s="3"/>
      <x:c r="G26" s="3"/>
      <x:c r="H26" s="3"/>
      <x:c r="I26" s="3"/>
      <x:c r="J26" s="3"/>
      <x:c r="K26" s="3"/>
      <x:c r="L26" s="3"/>
      <x:c r="M26" s="3"/>
    </x:row>
    <x:row r="27" ht="23" customHeight="1">
      <x:c r="A27" s="3"/>
      <x:c r="B27" s="3"/>
      <x:c r="C27" s="3"/>
      <x:c r="D27" s="3"/>
      <x:c r="E27" s="3"/>
      <x:c r="F27" s="3"/>
      <x:c r="G27" s="3"/>
      <x:c r="H27" s="3"/>
      <x:c r="I27" s="3"/>
      <x:c r="J27" s="3"/>
      <x:c r="K27" s="3"/>
      <x:c r="L27" s="3"/>
      <x:c r="M27" s="3"/>
    </x:row>
    <x:row r="28" ht="23" customHeight="1">
      <x:c r="A28" s="3"/>
      <x:c r="B28" s="3"/>
      <x:c r="C28" s="3"/>
      <x:c r="D28" s="3"/>
      <x:c r="E28" s="3"/>
      <x:c r="F28" s="3"/>
      <x:c r="G28" s="3"/>
      <x:c r="H28" s="3"/>
      <x:c r="I28" s="3"/>
      <x:c r="J28" s="3"/>
      <x:c r="K28" s="3"/>
      <x:c r="L28" s="3"/>
      <x:c r="M28" s="3"/>
    </x:row>
    <x:row r="29" ht="23" customHeight="1">
      <x:c r="A29" s="3"/>
      <x:c r="B29" s="3"/>
      <x:c r="C29" s="3"/>
      <x:c r="D29" s="3"/>
      <x:c r="E29" s="3"/>
      <x:c r="F29" s="3"/>
      <x:c r="G29" s="3"/>
      <x:c r="H29" s="3"/>
      <x:c r="I29" s="3"/>
      <x:c r="J29" s="3"/>
      <x:c r="K29" s="3"/>
      <x:c r="L29" s="3"/>
      <x:c r="M29" s="3"/>
    </x:row>
    <x:row r="30" ht="23" customHeight="1">
      <x:c r="A30" s="3"/>
      <x:c r="B30" s="3"/>
      <x:c r="C30" s="3"/>
      <x:c r="D30" s="3"/>
      <x:c r="E30" s="3"/>
      <x:c r="F30" s="3"/>
      <x:c r="G30" s="3"/>
      <x:c r="H30" s="3"/>
      <x:c r="I30" s="3"/>
      <x:c r="J30" s="3"/>
      <x:c r="K30" s="3"/>
      <x:c r="L30" s="3"/>
      <x:c r="M30" s="3"/>
    </x:row>
    <x:row r="31" ht="23" customHeight="1">
      <x:c r="A31" s="3"/>
      <x:c r="B31" s="3"/>
      <x:c r="C31" s="3"/>
      <x:c r="D31" s="3"/>
      <x:c r="E31" s="3"/>
      <x:c r="F31" s="3"/>
      <x:c r="G31" s="3"/>
      <x:c r="H31" s="3"/>
      <x:c r="I31" s="3"/>
      <x:c r="J31" s="3"/>
      <x:c r="K31" s="3"/>
      <x:c r="L31" s="3"/>
      <x:c r="M31" s="3"/>
    </x:row>
    <x:row r="32" ht="23" customHeight="1">
      <x:c r="A32" s="3"/>
      <x:c r="B32" s="3"/>
      <x:c r="C32" s="3"/>
      <x:c r="D32" s="3"/>
      <x:c r="E32" s="3"/>
      <x:c r="F32" s="3"/>
      <x:c r="G32" s="3"/>
      <x:c r="H32" s="3"/>
      <x:c r="I32" s="3"/>
      <x:c r="J32" s="3"/>
      <x:c r="K32" s="3"/>
      <x:c r="L32" s="3"/>
      <x:c r="M32" s="3"/>
    </x:row>
    <x:row r="33" ht="23" customHeight="1">
      <x:c r="A33" s="3"/>
      <x:c r="B33" s="3"/>
      <x:c r="C33" s="3"/>
      <x:c r="D33" s="3"/>
      <x:c r="E33" s="3"/>
      <x:c r="F33" s="3"/>
      <x:c r="G33" s="3"/>
      <x:c r="H33" s="3"/>
      <x:c r="I33" s="3"/>
      <x:c r="J33" s="3"/>
      <x:c r="K33" s="3"/>
      <x:c r="L33" s="3"/>
      <x:c r="M33" s="3"/>
    </x:row>
    <x:row r="34" ht="23" customHeight="1">
      <x:c r="A34" s="3"/>
      <x:c r="B34" s="3"/>
      <x:c r="C34" s="3"/>
      <x:c r="D34" s="3"/>
      <x:c r="E34" s="3"/>
      <x:c r="F34" s="3"/>
      <x:c r="G34" s="3"/>
      <x:c r="H34" s="3"/>
      <x:c r="I34" s="3"/>
      <x:c r="J34" s="3"/>
      <x:c r="K34" s="3"/>
      <x:c r="L34" s="3"/>
      <x:c r="M34" s="3"/>
    </x:row>
    <x:row r="35" ht="23" customHeight="1">
      <x:c r="A35" s="3"/>
      <x:c r="B35" s="3"/>
      <x:c r="C35" s="3"/>
      <x:c r="D35" s="3"/>
      <x:c r="E35" s="3"/>
      <x:c r="F35" s="3"/>
      <x:c r="G35" s="3"/>
      <x:c r="H35" s="3"/>
      <x:c r="I35" s="3"/>
      <x:c r="J35" s="3"/>
      <x:c r="K35" s="3"/>
      <x:c r="L35" s="3"/>
      <x:c r="M35" s="3"/>
    </x:row>
    <x:row r="36" ht="23" customHeight="1">
      <x:c r="A36" s="3"/>
      <x:c r="B36" s="3"/>
      <x:c r="C36" s="3"/>
      <x:c r="D36" s="3"/>
      <x:c r="E36" s="3"/>
      <x:c r="F36" s="3"/>
      <x:c r="G36" s="3"/>
      <x:c r="H36" s="3"/>
      <x:c r="I36" s="3"/>
      <x:c r="J36" s="3"/>
      <x:c r="K36" s="3"/>
      <x:c r="L36" s="3"/>
      <x:c r="M36" s="3"/>
    </x:row>
    <x:row r="37" ht="23" customHeight="1">
      <x:c r="A37" s="3"/>
      <x:c r="B37" s="3"/>
      <x:c r="C37" s="3"/>
      <x:c r="D37" s="3"/>
      <x:c r="E37" s="3"/>
      <x:c r="F37" s="3"/>
      <x:c r="G37" s="3"/>
      <x:c r="H37" s="3"/>
      <x:c r="I37" s="3"/>
      <x:c r="J37" s="3"/>
      <x:c r="K37" s="3"/>
      <x:c r="L37" s="3"/>
      <x:c r="M37" s="3"/>
    </x:row>
    <x:row r="38" ht="23" customHeight="1">
      <x:c r="A38" s="3"/>
      <x:c r="B38" s="3"/>
      <x:c r="C38" s="3"/>
      <x:c r="D38" s="3"/>
      <x:c r="E38" s="3"/>
      <x:c r="F38" s="3"/>
      <x:c r="G38" s="3"/>
      <x:c r="H38" s="3"/>
      <x:c r="I38" s="3"/>
      <x:c r="J38" s="3"/>
      <x:c r="K38" s="3"/>
      <x:c r="L38" s="3"/>
      <x:c r="M38" s="3"/>
    </x:row>
    <x:row r="39" ht="23" customHeight="1">
      <x:c r="A39" s="3"/>
      <x:c r="B39" s="3"/>
      <x:c r="C39" s="3"/>
      <x:c r="D39" s="3"/>
      <x:c r="E39" s="3"/>
      <x:c r="F39" s="3"/>
      <x:c r="G39" s="3"/>
      <x:c r="H39" s="3"/>
      <x:c r="I39" s="3"/>
      <x:c r="J39" s="3"/>
      <x:c r="K39" s="3"/>
      <x:c r="L39" s="3"/>
      <x:c r="M39" s="3"/>
    </x:row>
    <x:row r="40" ht="23" customHeight="1">
      <x:c r="A40" s="3"/>
      <x:c r="B40" s="3"/>
      <x:c r="C40" s="3"/>
      <x:c r="D40" s="3"/>
      <x:c r="E40" s="3"/>
      <x:c r="F40" s="3"/>
      <x:c r="G40" s="3"/>
      <x:c r="H40" s="3"/>
      <x:c r="I40" s="3"/>
      <x:c r="J40" s="3"/>
      <x:c r="K40" s="3"/>
      <x:c r="L40" s="3"/>
      <x:c r="M40" s="3"/>
    </x:row>
    <x:row r="41" ht="23" customHeight="1">
      <x:c r="A41" s="3"/>
      <x:c r="B41" s="3"/>
      <x:c r="C41" s="3"/>
      <x:c r="D41" s="3"/>
      <x:c r="E41" s="3"/>
      <x:c r="F41" s="3"/>
      <x:c r="G41" s="3"/>
      <x:c r="H41" s="3"/>
      <x:c r="I41" s="3"/>
      <x:c r="J41" s="3"/>
      <x:c r="K41" s="3"/>
      <x:c r="L41" s="3"/>
      <x:c r="M41" s="3"/>
    </x:row>
    <x:row r="42" ht="23" customHeight="1">
      <x:c r="A42" s="3"/>
      <x:c r="B42" s="3"/>
      <x:c r="C42" s="3"/>
      <x:c r="D42" s="3"/>
      <x:c r="E42" s="3"/>
      <x:c r="F42" s="3"/>
      <x:c r="G42" s="3"/>
      <x:c r="H42" s="3"/>
      <x:c r="I42" s="3"/>
      <x:c r="J42" s="3"/>
      <x:c r="K42" s="3"/>
      <x:c r="L42" s="3"/>
      <x:c r="M42" s="3"/>
    </x:row>
    <x:row r="43" ht="23" customHeight="1">
      <x:c r="A43" s="3"/>
      <x:c r="B43" s="3"/>
      <x:c r="C43" s="3"/>
      <x:c r="D43" s="3"/>
      <x:c r="E43" s="3"/>
      <x:c r="F43" s="3"/>
      <x:c r="G43" s="3"/>
      <x:c r="H43" s="3"/>
      <x:c r="I43" s="3"/>
      <x:c r="J43" s="3"/>
      <x:c r="K43" s="3"/>
      <x:c r="L43" s="3"/>
      <x:c r="M43" s="3"/>
    </x:row>
    <x:row r="44" ht="23" customHeight="1">
      <x:c r="A44" s="3"/>
      <x:c r="B44" s="3"/>
      <x:c r="C44" s="3"/>
      <x:c r="D44" s="3"/>
      <x:c r="E44" s="3"/>
      <x:c r="F44" s="3"/>
      <x:c r="G44" s="3"/>
      <x:c r="H44" s="3"/>
      <x:c r="I44" s="3"/>
      <x:c r="J44" s="3"/>
      <x:c r="K44" s="3"/>
      <x:c r="L44" s="3"/>
      <x:c r="M44" s="3"/>
    </x:row>
    <x:row r="45" ht="23" customHeight="1">
      <x:c r="A45" s="3"/>
      <x:c r="B45" s="3"/>
      <x:c r="C45" s="3"/>
      <x:c r="D45" s="3"/>
      <x:c r="E45" s="3"/>
      <x:c r="F45" s="3"/>
      <x:c r="G45" s="3"/>
      <x:c r="H45" s="3"/>
      <x:c r="I45" s="3"/>
      <x:c r="J45" s="3"/>
      <x:c r="K45" s="3"/>
      <x:c r="L45" s="3"/>
      <x:c r="M45" s="3"/>
    </x:row>
    <x:row r="46" ht="23" customHeight="1">
      <x:c r="A46" s="3"/>
      <x:c r="B46" s="3"/>
      <x:c r="C46" s="3"/>
      <x:c r="D46" s="3"/>
      <x:c r="E46" s="3"/>
      <x:c r="F46" s="3"/>
      <x:c r="G46" s="3"/>
      <x:c r="H46" s="3"/>
      <x:c r="I46" s="3"/>
      <x:c r="J46" s="3"/>
      <x:c r="K46" s="3"/>
      <x:c r="L46" s="3"/>
      <x:c r="M46" s="3"/>
    </x:row>
    <x:row r="47" ht="23" customHeight="1">
      <x:c r="A47" s="3"/>
      <x:c r="B47" s="3"/>
      <x:c r="C47" s="3"/>
      <x:c r="D47" s="3"/>
      <x:c r="E47" s="3"/>
      <x:c r="F47" s="3"/>
      <x:c r="G47" s="3"/>
      <x:c r="H47" s="3"/>
      <x:c r="I47" s="3"/>
      <x:c r="J47" s="3"/>
      <x:c r="K47" s="3"/>
      <x:c r="L47" s="3"/>
      <x:c r="M47" s="3"/>
    </x:row>
    <x:row r="48" ht="23" customHeight="1">
      <x:c r="A48" s="3"/>
      <x:c r="B48" s="3"/>
      <x:c r="C48" s="3"/>
      <x:c r="D48" s="3"/>
      <x:c r="E48" s="3"/>
      <x:c r="F48" s="3"/>
      <x:c r="G48" s="3"/>
      <x:c r="H48" s="3"/>
      <x:c r="I48" s="3"/>
      <x:c r="J48" s="3"/>
      <x:c r="K48" s="3"/>
      <x:c r="L48" s="3"/>
      <x:c r="M48" s="3"/>
    </x:row>
    <x:row r="49" ht="23" customHeight="1">
      <x:c r="A49" s="3"/>
      <x:c r="B49" s="3"/>
      <x:c r="C49" s="3"/>
      <x:c r="D49" s="3"/>
      <x:c r="E49" s="3"/>
      <x:c r="F49" s="3"/>
      <x:c r="G49" s="3"/>
      <x:c r="H49" s="3"/>
      <x:c r="I49" s="3"/>
      <x:c r="J49" s="3"/>
      <x:c r="K49" s="3"/>
      <x:c r="L49" s="3"/>
      <x:c r="M49" s="3"/>
    </x:row>
    <x:row r="50" ht="23" customHeight="1">
      <x:c r="A50" s="3"/>
      <x:c r="B50" s="3"/>
      <x:c r="C50" s="3"/>
      <x:c r="D50" s="3"/>
      <x:c r="E50" s="3"/>
      <x:c r="F50" s="3"/>
      <x:c r="G50" s="3"/>
      <x:c r="H50" s="3"/>
      <x:c r="I50" s="3"/>
      <x:c r="J50" s="3"/>
      <x:c r="K50" s="3"/>
      <x:c r="L50" s="3"/>
      <x:c r="M50" s="3"/>
    </x:row>
    <x:row r="51" ht="23" customHeight="1">
      <x:c r="A51" s="3"/>
      <x:c r="B51" s="3"/>
      <x:c r="C51" s="3"/>
      <x:c r="D51" s="3"/>
      <x:c r="E51" s="3"/>
      <x:c r="F51" s="3"/>
      <x:c r="G51" s="3"/>
      <x:c r="H51" s="3"/>
      <x:c r="I51" s="3"/>
      <x:c r="J51" s="3"/>
      <x:c r="K51" s="3"/>
      <x:c r="L51" s="3"/>
      <x:c r="M51" s="3"/>
    </x:row>
    <x:row r="52" ht="23" customHeight="1">
      <x:c r="A52" s="3"/>
      <x:c r="B52" s="3"/>
      <x:c r="C52" s="3"/>
      <x:c r="D52" s="3"/>
      <x:c r="E52" s="3"/>
      <x:c r="F52" s="3"/>
      <x:c r="G52" s="3"/>
      <x:c r="H52" s="3"/>
      <x:c r="I52" s="3"/>
      <x:c r="J52" s="3"/>
      <x:c r="K52" s="3"/>
      <x:c r="L52" s="3"/>
      <x:c r="M52" s="3"/>
    </x:row>
    <x:row r="53" ht="23" customHeight="1">
      <x:c r="A53" s="3"/>
      <x:c r="B53" s="3"/>
      <x:c r="C53" s="3"/>
      <x:c r="D53" s="3"/>
      <x:c r="E53" s="3"/>
      <x:c r="F53" s="3"/>
      <x:c r="G53" s="3"/>
      <x:c r="H53" s="3"/>
      <x:c r="I53" s="3"/>
      <x:c r="J53" s="3"/>
      <x:c r="K53" s="3"/>
      <x:c r="L53" s="3"/>
      <x:c r="M53" s="3"/>
    </x:row>
    <x:row r="54" ht="23" customHeight="1">
      <x:c r="A54" s="3"/>
      <x:c r="B54" s="3"/>
      <x:c r="C54" s="3"/>
      <x:c r="D54" s="3"/>
      <x:c r="E54" s="3"/>
      <x:c r="F54" s="3"/>
      <x:c r="G54" s="3"/>
      <x:c r="H54" s="3"/>
      <x:c r="I54" s="3"/>
      <x:c r="J54" s="3"/>
      <x:c r="K54" s="3"/>
      <x:c r="L54" s="3"/>
      <x:c r="M54" s="3"/>
    </x:row>
    <x:row r="55" ht="23" customHeight="1">
      <x:c r="A55" s="3"/>
      <x:c r="B55" s="3"/>
      <x:c r="C55" s="3"/>
      <x:c r="D55" s="3"/>
      <x:c r="E55" s="3"/>
      <x:c r="F55" s="3"/>
      <x:c r="G55" s="3"/>
      <x:c r="H55" s="3"/>
      <x:c r="I55" s="3"/>
      <x:c r="J55" s="3"/>
      <x:c r="K55" s="3"/>
      <x:c r="L55" s="3"/>
      <x:c r="M55" s="3"/>
    </x:row>
    <x:row r="56" ht="23" customHeight="1">
      <x:c r="A56" s="3"/>
      <x:c r="B56" s="3"/>
      <x:c r="C56" s="3"/>
      <x:c r="D56" s="3"/>
      <x:c r="E56" s="3"/>
      <x:c r="F56" s="3"/>
      <x:c r="G56" s="3"/>
      <x:c r="H56" s="3"/>
      <x:c r="I56" s="3"/>
      <x:c r="J56" s="3"/>
      <x:c r="K56" s="3"/>
      <x:c r="L56" s="3"/>
      <x:c r="M56" s="3"/>
    </x:row>
    <x:row r="57" ht="23" customHeight="1">
      <x:c r="A57" s="3"/>
      <x:c r="B57" s="3"/>
      <x:c r="C57" s="3"/>
      <x:c r="D57" s="3"/>
      <x:c r="E57" s="3"/>
      <x:c r="F57" s="3"/>
      <x:c r="G57" s="3"/>
      <x:c r="H57" s="3"/>
      <x:c r="I57" s="3"/>
      <x:c r="J57" s="3"/>
      <x:c r="K57" s="3"/>
      <x:c r="L57" s="3"/>
      <x:c r="M57" s="3"/>
    </x:row>
    <x:row r="58" ht="23" customHeight="1">
      <x:c r="A58" s="3"/>
      <x:c r="B58" s="3"/>
      <x:c r="C58" s="3"/>
      <x:c r="D58" s="3"/>
      <x:c r="E58" s="3"/>
      <x:c r="F58" s="3"/>
      <x:c r="G58" s="3"/>
      <x:c r="H58" s="3"/>
      <x:c r="I58" s="3"/>
      <x:c r="J58" s="3"/>
      <x:c r="K58" s="3"/>
      <x:c r="L58" s="3"/>
      <x:c r="M58" s="3"/>
    </x:row>
    <x:row r="59" ht="23" customHeight="1">
      <x:c r="A59" s="3"/>
      <x:c r="B59" s="3"/>
      <x:c r="C59" s="3"/>
      <x:c r="D59" s="3"/>
      <x:c r="E59" s="3"/>
      <x:c r="F59" s="3"/>
      <x:c r="G59" s="3"/>
      <x:c r="H59" s="3"/>
      <x:c r="I59" s="3"/>
      <x:c r="J59" s="3"/>
      <x:c r="K59" s="3"/>
      <x:c r="L59" s="3"/>
      <x:c r="M59" s="3"/>
    </x:row>
    <x:row r="60" ht="23" customHeight="1">
      <x:c r="A60" s="3"/>
      <x:c r="B60" s="3"/>
      <x:c r="C60" s="3"/>
      <x:c r="D60" s="3"/>
      <x:c r="E60" s="3"/>
      <x:c r="F60" s="3"/>
      <x:c r="G60" s="3"/>
      <x:c r="H60" s="3"/>
      <x:c r="I60" s="3"/>
      <x:c r="J60" s="3"/>
      <x:c r="K60" s="3"/>
      <x:c r="L60" s="3"/>
      <x:c r="M60" s="3"/>
    </x:row>
    <x:row r="61" ht="23" customHeight="1">
      <x:c r="A61" s="3"/>
      <x:c r="B61" s="3"/>
      <x:c r="C61" s="3"/>
      <x:c r="D61" s="3"/>
      <x:c r="E61" s="3"/>
      <x:c r="F61" s="3"/>
      <x:c r="G61" s="3"/>
      <x:c r="H61" s="3"/>
      <x:c r="I61" s="3"/>
      <x:c r="J61" s="3"/>
      <x:c r="K61" s="3"/>
      <x:c r="L61" s="3"/>
      <x:c r="M61" s="3"/>
    </x:row>
    <x:row r="62" ht="23" customHeight="1">
      <x:c r="A62" s="3"/>
      <x:c r="B62" s="3"/>
      <x:c r="C62" s="3"/>
      <x:c r="D62" s="3"/>
      <x:c r="E62" s="3"/>
      <x:c r="F62" s="3"/>
      <x:c r="G62" s="3"/>
      <x:c r="H62" s="3"/>
      <x:c r="I62" s="3"/>
      <x:c r="J62" s="3"/>
      <x:c r="K62" s="3"/>
      <x:c r="L62" s="3"/>
      <x:c r="M62" s="3"/>
    </x:row>
    <x:row r="63" ht="23" customHeight="1">
      <x:c r="A63" s="3"/>
      <x:c r="B63" s="3"/>
      <x:c r="C63" s="3"/>
      <x:c r="D63" s="3"/>
      <x:c r="E63" s="3"/>
      <x:c r="F63" s="3"/>
      <x:c r="G63" s="3"/>
      <x:c r="H63" s="3"/>
      <x:c r="I63" s="3"/>
      <x:c r="J63" s="3"/>
      <x:c r="K63" s="3"/>
      <x:c r="L63" s="3"/>
      <x:c r="M63" s="3"/>
    </x:row>
    <x:row r="64" ht="23" customHeight="1">
      <x:c r="A64" s="3"/>
      <x:c r="B64" s="3"/>
      <x:c r="C64" s="3"/>
      <x:c r="D64" s="3"/>
      <x:c r="E64" s="3"/>
      <x:c r="F64" s="3"/>
      <x:c r="G64" s="3"/>
      <x:c r="H64" s="3"/>
      <x:c r="I64" s="3"/>
      <x:c r="J64" s="3"/>
      <x:c r="K64" s="3"/>
      <x:c r="L64" s="3"/>
      <x:c r="M64" s="3"/>
    </x:row>
    <x:row r="65" ht="23" customHeight="1">
      <x:c r="A65" s="3"/>
      <x:c r="B65" s="3"/>
      <x:c r="C65" s="3"/>
      <x:c r="D65" s="3"/>
      <x:c r="E65" s="3"/>
      <x:c r="F65" s="3"/>
      <x:c r="G65" s="3"/>
      <x:c r="H65" s="3"/>
      <x:c r="I65" s="3"/>
      <x:c r="J65" s="3"/>
      <x:c r="K65" s="3"/>
      <x:c r="L65" s="3"/>
      <x:c r="M65" s="3"/>
    </x:row>
  </x:sheetData>
  <x:mergeCells>
    <x:mergeCell ref="A1:E2"/>
    <x:mergeCell ref="A3:E3"/>
    <x:mergeCell ref="A21:E23"/>
  </x:mergeCells>
  <x:pageMargins left="0.7" right="0.7" top="0.75" bottom="0.75" header="0.3" footer="0.3"/>
  <x:legacyDrawing xmlns:r="http://schemas.openxmlformats.org/officeDocument/2006/relationships" r:id="Re5a357f14f92464a"/>
</x:worksheet>
</file>

<file path=xl/worksheets/sheet8.xml><?xml version="1.0" encoding="utf-8"?>
<x:worksheet xmlns:x="http://schemas.openxmlformats.org/spreadsheetml/2006/main">
  <x:sheetFormatPr defaultRowHeight="15"/>
  <x:cols>
    <x:col min="1" max="1" width="26" hidden="0" customWidth="1"/>
    <x:col min="2" max="2" width="38" hidden="0" customWidth="1"/>
    <x:col min="3" max="3" width="38" hidden="0" customWidth="1"/>
    <x:col min="4" max="4" width="38" hidden="0" customWidth="1"/>
    <x:col min="5" max="5" width="38" hidden="0" customWidth="1"/>
  </x:cols>
  <x:sheetData>
    <x:row r="1" ht="23" customHeight="1">
      <x:c r="A1" s="8" t="str">
        <x:v>NGUỒN NGHIÊN CỨU &amp; PHẠM VI SỬ DỤNG</x:v>
      </x:c>
      <x:c r="B1" s="8"/>
      <x:c r="C1" s="8"/>
      <x:c r="D1" s="8"/>
      <x:c r="E1" s="8"/>
      <x:c r="F1" s="3"/>
      <x:c r="G1" s="3"/>
      <x:c r="H1" s="3"/>
      <x:c r="I1" s="3"/>
      <x:c r="J1" s="3"/>
      <x:c r="K1" s="3"/>
      <x:c r="L1" s="3"/>
      <x:c r="M1" s="3"/>
    </x:row>
    <x:row r="2" ht="23" customHeight="1">
      <x:c r="A2" s="8"/>
      <x:c r="B2" s="8"/>
      <x:c r="C2" s="8"/>
      <x:c r="D2" s="8"/>
      <x:c r="E2" s="8"/>
      <x:c r="F2" s="3"/>
      <x:c r="G2" s="3"/>
      <x:c r="H2" s="3"/>
      <x:c r="I2" s="3"/>
      <x:c r="J2" s="3"/>
      <x:c r="K2" s="3"/>
      <x:c r="L2" s="3"/>
      <x:c r="M2" s="3"/>
    </x:row>
    <x:row r="3" ht="32" customHeight="1">
      <x:c r="A3" s="13" t="str">
        <x:v>Kiểm tra ngày 05/09/2026 | Không nguồn nào dưới đây xác nhận báo giá thuê, giá bán hoặc khả năng cấp phép của mặt bằng</x:v>
      </x:c>
      <x:c r="B3" s="13"/>
      <x:c r="C3" s="13"/>
      <x:c r="D3" s="13"/>
      <x:c r="E3" s="13"/>
      <x:c r="F3" s="3"/>
      <x:c r="G3" s="3"/>
      <x:c r="H3" s="3"/>
      <x:c r="I3" s="3"/>
      <x:c r="J3" s="3"/>
      <x:c r="K3" s="3"/>
      <x:c r="L3" s="3"/>
      <x:c r="M3" s="3"/>
    </x:row>
    <x:row r="4" ht="30" customHeight="1">
      <x:c r="A4" s="18" t="str">
        <x:v>Chủ đề</x:v>
      </x:c>
      <x:c r="B4" s="18" t="str">
        <x:v>Tài liệu / đơn vị</x:v>
      </x:c>
      <x:c r="C4" s="18" t="str">
        <x:v>Điều đã kiểm tra</x:v>
      </x:c>
      <x:c r="D4" s="18" t="str">
        <x:v>URL nguồn</x:v>
      </x:c>
      <x:c r="E4" s="18" t="str">
        <x:v>Giới hạn sử dụng</x:v>
      </x:c>
      <x:c r="F4" s="3"/>
      <x:c r="G4" s="3"/>
      <x:c r="H4" s="3"/>
      <x:c r="I4" s="3"/>
      <x:c r="J4" s="3"/>
      <x:c r="K4" s="3"/>
      <x:c r="L4" s="3"/>
      <x:c r="M4" s="3"/>
    </x:row>
    <x:row r="5" ht="85" customHeight="1">
      <x:c r="A5" s="22" t="str">
        <x:v>Lịch sử công trình</x:v>
      </x:c>
      <x:c r="B5" s="22" t="str">
        <x:v>VietnamNet, 06/08/2024</x:v>
      </x:c>
      <x:c r="C5" s="22" t="str">
        <x:v>Bài viết về tháo dỡ căn hộ sai phạm ở tầng 2, 3, 5.</x:v>
      </x:c>
      <x:c r="D5" s="22" t="str">
        <x:v>https://vietnamnet.vn/thong-tin-moi-nhat-ve-thao-do-86-can-ho-sai-pham-o-to-hop-muong-thanh-da-nang-2309223.html</x:v>
      </x:c>
      <x:c r="E5" s="22" t="str">
        <x:v>Chưa xác định cùng tòa với mặt bằng người dùng. Không chứng minh tình trạng pháp lý năm 2026.</x:v>
      </x:c>
      <x:c r="F5" s="3"/>
      <x:c r="G5" s="3"/>
      <x:c r="H5" s="3"/>
      <x:c r="I5" s="3"/>
      <x:c r="J5" s="3"/>
      <x:c r="K5" s="3"/>
      <x:c r="L5" s="3"/>
      <x:c r="M5" s="3"/>
    </x:row>
    <x:row r="6" ht="85" customHeight="1">
      <x:c r="A6" s="22" t="str">
        <x:v>Công năng chung cư</x:v>
      </x:c>
      <x:c r="B6" s="22" t="str">
        <x:v>Luật Nhà ở 27/2023/QH15</x:v>
      </x:c>
      <x:c r="C6" s="22" t="str">
        <x:v>Điều 3 khoản 8; phân biệt căn hộ để ở, diện tích dịch vụ, phần sở hữu chung.</x:v>
      </x:c>
      <x:c r="D6" s="22" t="str">
        <x:v>https://datafiles.chinhphu.vn/cpp/files/vbpq/2024/01/luat27.pdf</x:v>
      </x:c>
      <x:c r="E6" s="22" t="str">
        <x:v>Cần đối chiếu hồ sơ được duyệt của đúng mặt bằng.</x:v>
      </x:c>
      <x:c r="F6" s="3"/>
      <x:c r="G6" s="3"/>
      <x:c r="H6" s="3"/>
      <x:c r="I6" s="3"/>
      <x:c r="J6" s="3"/>
      <x:c r="K6" s="3"/>
      <x:c r="L6" s="3"/>
      <x:c r="M6" s="3"/>
    </x:row>
    <x:row r="7" ht="85" customHeight="1">
      <x:c r="A7" s="22" t="str">
        <x:v>Chăm sóc / trợ giúp xã hội</x:v>
      </x:c>
      <x:c r="B7" s="22" t="str">
        <x:v>Nghị quyết 66.18/2026/NQ-CP</x:v>
      </x:c>
      <x:c r="C7" s="22" t="str">
        <x:v>Nghị quyết đơn giản hóa thủ tục và điều kiện kinh doanh.</x:v>
      </x:c>
      <x:c r="D7" s="22" t="str">
        <x:v>https://vanban.chinhphu.vn/?classid=1&amp;docid=218181&amp;orggroupid=2&amp;pageid=27160</x:v>
      </x:c>
      <x:c r="E7" s="22" t="str">
        <x:v>Phải kiểm tra quy định áp dụng vào ngày mở cửa thực tế.</x:v>
      </x:c>
      <x:c r="F7" s="3"/>
      <x:c r="G7" s="3"/>
      <x:c r="H7" s="3"/>
      <x:c r="I7" s="3"/>
      <x:c r="J7" s="3"/>
      <x:c r="K7" s="3"/>
      <x:c r="L7" s="3"/>
      <x:c r="M7" s="3"/>
    </x:row>
    <x:row r="8" ht="85" customHeight="1">
      <x:c r="A8" s="22" t="str">
        <x:v>Điều kiện cơ sở chăm sóc</x:v>
      </x:c>
      <x:c r="B8" s="22" t="str">
        <x:v>Phụ lục I.10, phần B, NQ66.18</x:v>
      </x:c>
      <x:c r="C8" s="22" t="str">
        <x:v>Đất tự nhiên, phòng ở, nhân sự và thông báo Sở Y tế.</x:v>
      </x:c>
      <x:c r="D8" s="22" t="str">
        <x:v>https://datafiles.chinhphu.vn/cpp/files/vbpq/2026/5/66.18-4ndcp.pdf</x:v>
      </x:c>
      <x:c r="E8" s="22" t="str">
        <x:v>Không suy ra diện tích sàn tầng 5 tương đương điều kiện đất tự nhiên.</x:v>
      </x:c>
      <x:c r="F8" s="3"/>
      <x:c r="G8" s="3"/>
      <x:c r="H8" s="3"/>
      <x:c r="I8" s="3"/>
      <x:c r="J8" s="3"/>
      <x:c r="K8" s="3"/>
      <x:c r="L8" s="3"/>
      <x:c r="M8" s="3"/>
    </x:row>
    <x:row r="9" ht="85" customHeight="1">
      <x:c r="A9" s="22" t="str">
        <x:v>PCCC</x:v>
      </x:c>
      <x:c r="B9" s="22" t="str">
        <x:v>Nghị định 105/2025/NĐ-CP</x:v>
      </x:c>
      <x:c r="C9" s="22" t="str">
        <x:v>Khung quy định triển khai Luật PCCC và cứu nạn, cứu hộ.</x:v>
      </x:c>
      <x:c r="D9" s="22" t="str">
        <x:v>https://vanban.chinhphu.vn/?docid=213702&amp;pageid=27160</x:v>
      </x:c>
      <x:c r="E9" s="22" t="str">
        <x:v>Cần kỹ sư/đơn vị chuyên môn xác nhận thiết kế và phạm vi thủ tục.</x:v>
      </x:c>
      <x:c r="F9" s="3"/>
      <x:c r="G9" s="3"/>
      <x:c r="H9" s="3"/>
      <x:c r="I9" s="3"/>
      <x:c r="J9" s="3"/>
      <x:c r="K9" s="3"/>
      <x:c r="L9" s="3"/>
      <x:c r="M9" s="3"/>
    </x:row>
    <x:row r="10" ht="85" customHeight="1">
      <x:c r="A10" s="22" t="str">
        <x:v>Tiếp cận công trình</x:v>
      </x:c>
      <x:c r="B10" s="22" t="str">
        <x:v>Thông tư 06/2024/TT-BXD, QCVN10:2024</x:v>
      </x:c>
      <x:c r="C10" s="22" t="str">
        <x:v>Quy chuẩn bảo đảm tiếp cận sử dụng công trình.</x:v>
      </x:c>
      <x:c r="D10" s="22" t="str">
        <x:v>https://vanban.chinhphu.vn/?classid=1&amp;docid=210897&amp;pageid=27160&amp;typegroupid=6</x:v>
      </x:c>
      <x:c r="E10" s="22" t="str">
        <x:v>Không thay thế đo đạc và hồ sơ thiết kế thực tế.</x:v>
      </x:c>
      <x:c r="F10" s="3"/>
      <x:c r="G10" s="3"/>
      <x:c r="H10" s="3"/>
      <x:c r="I10" s="3"/>
      <x:c r="J10" s="3"/>
      <x:c r="K10" s="3"/>
      <x:c r="L10" s="3"/>
      <x:c r="M10" s="3"/>
    </x:row>
    <x:row r="11" ht="85" customHeight="1">
      <x:c r="A11" s="22" t="str">
        <x:v>Mô hình cộng đồng</x:v>
      </x:c>
      <x:c r="B11" s="22" t="str">
        <x:v>HelpAge Vietnam</x:v>
      </x:c>
      <x:c r="C11" s="22" t="str">
        <x:v>Câu lạc bộ liên thế hệ tự giúp nhau.</x:v>
      </x:c>
      <x:c r="D11" s="22" t="str">
        <x:v>https://helpagevietnam.org/blog/2025/intergenerational-self-help-clubs-a-sustainable-solution-to-population-ageing/</x:v>
      </x:c>
      <x:c r="E11" s="22" t="str">
        <x:v>Tham khảo hoạt động cộng đồng; không dùng làm benchmark lợi nhuận tư nhân.</x:v>
      </x:c>
      <x:c r="F11" s="3"/>
      <x:c r="G11" s="3"/>
      <x:c r="H11" s="3"/>
      <x:c r="I11" s="3"/>
      <x:c r="J11" s="3"/>
      <x:c r="K11" s="3"/>
      <x:c r="L11" s="3"/>
      <x:c r="M11" s="3"/>
    </x:row>
    <x:row r="12" ht="85" customHeight="1">
      <x:c r="A12" s="22" t="str">
        <x:v>Active Ageing Centre</x:v>
      </x:c>
      <x:c r="B12" s="22" t="str">
        <x:v>AIC Singapore</x:v>
      </x:c>
      <x:c r="C12" s="22" t="str">
        <x:v>Phần lớn hoạt động miễn phí, một số hoạt động có phí.</x:v>
      </x:c>
      <x:c r="D12" s="22" t="str">
        <x:v>https://www.aic.sg/Care-Services/Active-Ageing-Centres</x:v>
      </x:c>
      <x:c r="E12" s="22" t="str">
        <x:v>Mô hình tài trợ không thể sao chép trực tiếp thành mô hình thu phí ở Đà Nẵng.</x:v>
      </x:c>
      <x:c r="F12" s="3"/>
      <x:c r="G12" s="3"/>
      <x:c r="H12" s="3"/>
      <x:c r="I12" s="3"/>
      <x:c r="J12" s="3"/>
      <x:c r="K12" s="3"/>
      <x:c r="L12" s="3"/>
      <x:c r="M12" s="3"/>
    </x:row>
    <x:row r="13" ht="85" customHeight="1">
      <x:c r="A13" s="22" t="str">
        <x:v>Senior day care</x:v>
      </x:c>
      <x:c r="B13" s="22" t="str">
        <x:v>NTUC Health</x:v>
      </x:c>
      <x:c r="C13" s="22" t="str">
        <x:v>Bảng phí trước và sau trợ cấp có khác biệt lớn.</x:v>
      </x:c>
      <x:c r="D13" s="22" t="str">
        <x:v>https://ntuchealth.sg/elderly-care/services/day-care/senior-day-care</x:v>
      </x:c>
      <x:c r="E13" s="22" t="str">
        <x:v>Không dùng giá được trợ cấp làm giá tham chiếu trực tiếp tại Việt Nam.</x:v>
      </x:c>
      <x:c r="F13" s="3"/>
      <x:c r="G13" s="3"/>
      <x:c r="H13" s="3"/>
      <x:c r="I13" s="3"/>
      <x:c r="J13" s="3"/>
      <x:c r="K13" s="3"/>
      <x:c r="L13" s="3"/>
      <x:c r="M13" s="3"/>
    </x:row>
    <x:row r="14" ht="85" customHeight="1">
      <x:c r="A14" s="22" t="str">
        <x:v>Dịch vụ tại Đà Nẵng</x:v>
      </x:c>
      <x:c r="B14" s="22" t="str">
        <x:v>Bệnh viện 199</x:v>
      </x:c>
      <x:c r="C14" s="22" t="str">
        <x:v>Daycare 4 giờ, phục hồi chức năng.</x:v>
      </x:c>
      <x:c r="D14" s="22" t="str">
        <x:v>https://benhvien199.vn/post/daycare-4-gio-tai-benh-vien-199-giai-phap-cham-soc-ly-tuong-sau-tai-bien-va-phu-thuat_dt_53c090d0-a63e-4667-46a3-08dd94188f83</x:v>
      </x:c>
      <x:c r="E14" s="22" t="str">
        <x:v>Có cung ứng tại địa phương không chứng minh sẵn sàng trả tiền cho CLB mới.</x:v>
      </x:c>
      <x:c r="F14" s="3"/>
      <x:c r="G14" s="3"/>
      <x:c r="H14" s="3"/>
      <x:c r="I14" s="3"/>
      <x:c r="J14" s="3"/>
      <x:c r="K14" s="3"/>
      <x:c r="L14" s="3"/>
      <x:c r="M14" s="3"/>
    </x:row>
    <x:row r="15" ht="85" customHeight="1">
      <x:c r="A15" s="22" t="str">
        <x:v>Giá đối thủ địa phương</x:v>
      </x:c>
      <x:c r="B15" s="22" t="str">
        <x:v>Bệnh viện 199</x:v>
      </x:c>
      <x:c r="C15" s="22" t="str">
        <x:v>Gói daycare 30 ngày ghi giá “Liên hệ”.</x:v>
      </x:c>
      <x:c r="D15" s="22" t="str">
        <x:v>https://benhvien199.vn/service/goi-daycare-30-ngay_pdt</x:v>
      </x:c>
      <x:c r="E15" s="22" t="str">
        <x:v>Chưa có giá để so sánh; phải hỏi báo giá theo hồ sơ khách.</x:v>
      </x:c>
      <x:c r="F15" s="3"/>
      <x:c r="G15" s="3"/>
      <x:c r="H15" s="3"/>
      <x:c r="I15" s="3"/>
      <x:c r="J15" s="3"/>
      <x:c r="K15" s="3"/>
      <x:c r="L15" s="3"/>
      <x:c r="M15" s="3"/>
    </x:row>
    <x:row r="16" ht="85" customHeight="1">
      <x:c r="A16" s="22" t="str">
        <x:v>Kết nối xã hội</x:v>
      </x:c>
      <x:c r="B16" s="22" t="str">
        <x:v>WHO, 30/06/2025</x:v>
      </x:c>
      <x:c r="C16" s="22" t="str">
        <x:v>Báo cáo kết nối xã hội và sức khỏe.</x:v>
      </x:c>
      <x:c r="D16" s="22" t="str">
        <x:v>https://www.who.int/news/item/30-06-2025-social-connection-linked-to-improved-heath-and-reduced-risk-of-early-death</x:v>
      </x:c>
      <x:c r="E16" s="22" t="str">
        <x:v>Không được chuyển thành cam kết CLB chữa bệnh hay ngăn sa sút trí tuệ.</x:v>
      </x:c>
      <x:c r="F16" s="3"/>
      <x:c r="G16" s="3"/>
      <x:c r="H16" s="3"/>
      <x:c r="I16" s="3"/>
      <x:c r="J16" s="3"/>
      <x:c r="K16" s="3"/>
      <x:c r="L16" s="3"/>
      <x:c r="M16" s="3"/>
    </x:row>
    <x:row r="17" ht="85" customHeight="1">
      <x:c r="A17" s="22" t="str">
        <x:v>Mô hình tư nhân Việt Nam</x:v>
      </x:c>
      <x:c r="B17" s="22" t="str">
        <x:v>Genki House</x:v>
      </x:c>
      <x:c r="C17" s="22" t="str">
        <x:v>Trung tâm bán trú có hoạt động sinh hoạt và chăm sóc.</x:v>
      </x:c>
      <x:c r="D17" s="22" t="str">
        <x:v>https://genkihouse.vn/trung-tam-ban-tru-cho-nguoi-cao-tuoi-thu-la-thich-ngay/</x:v>
      </x:c>
      <x:c r="E17" s="22" t="str">
        <x:v>Thông tin của nhà cung cấp, không phải báo cáo hiệu quả kinh doanh độc lập.</x:v>
      </x:c>
      <x:c r="F17" s="3"/>
      <x:c r="G17" s="3"/>
      <x:c r="H17" s="3"/>
      <x:c r="I17" s="3"/>
      <x:c r="J17" s="3"/>
      <x:c r="K17" s="3"/>
      <x:c r="L17" s="3"/>
      <x:c r="M17" s="3"/>
    </x:row>
    <x:row r="18" ht="85" customHeight="1">
      <x:c r="A18" s="22" t="str">
        <x:v>Dữ liệu cá nhân</x:v>
      </x:c>
      <x:c r="B18" s="22" t="str">
        <x:v>Luật 91/2025/QH15</x:v>
      </x:c>
      <x:c r="C18" s="22" t="str">
        <x:v>Khung bảo vệ dữ liệu cá nhân.</x:v>
      </x:c>
      <x:c r="D18" s="22" t="str">
        <x:v>https://chinhphu.vn/?classid=1&amp;docid=214590&amp;pageid=27160&amp;typegroupid=3</x:v>
      </x:c>
      <x:c r="E18" s="22" t="str">
        <x:v>Thiết kế hồ sơ hội viên và chia sẻ cho gia đình phải được tư vấn theo phạm vi cụ thể.</x:v>
      </x:c>
      <x:c r="F18" s="3"/>
      <x:c r="G18" s="3"/>
      <x:c r="H18" s="3"/>
      <x:c r="I18" s="3"/>
      <x:c r="J18" s="3"/>
      <x:c r="K18" s="3"/>
      <x:c r="L18" s="3"/>
      <x:c r="M18" s="3"/>
    </x:row>
    <x:row r="19" ht="85" customHeight="1">
      <x:c r="A19" s="22" t="str">
        <x:v>Toàn bộ số tài chính</x:v>
      </x:c>
      <x:c r="B19" s="22" t="str">
        <x:v>Giả định của người lập mô hình</x:v>
      </x:c>
      <x:c r="C19" s="22" t="str">
        <x:v>Giá thuê, lương, gói bán, chi phí, nhu cầu và CAPEX đều là giả định.</x:v>
      </x:c>
      <x:c r="D19" s="22" t="str">
        <x:v>Không có báo giá đầu vào hoặc nghiên cứu trả phí tại chỗ.</x:v>
      </x:c>
      <x:c r="E19" s="22" t="str">
        <x:v>Dùng kiểm tra ngưỡng khả thi, không phải khuyến nghị đầu tư hay cam kết lợi nhuận.</x:v>
      </x:c>
      <x:c r="F19" s="3"/>
      <x:c r="G19" s="3"/>
      <x:c r="H19" s="3"/>
      <x:c r="I19" s="3"/>
      <x:c r="J19" s="3"/>
      <x:c r="K19" s="3"/>
      <x:c r="L19" s="3"/>
      <x:c r="M19" s="3"/>
    </x:row>
    <x:row r="20" ht="23" customHeight="1">
      <x:c r="A20" s="3"/>
      <x:c r="B20" s="3"/>
      <x:c r="C20" s="3"/>
      <x:c r="D20" s="3"/>
      <x:c r="E20" s="3"/>
      <x:c r="F20" s="3"/>
      <x:c r="G20" s="3"/>
      <x:c r="H20" s="3"/>
      <x:c r="I20" s="3"/>
      <x:c r="J20" s="3"/>
      <x:c r="K20" s="3"/>
      <x:c r="L20" s="3"/>
      <x:c r="M20" s="3"/>
    </x:row>
    <x:row r="21" ht="23" customHeight="1">
      <x:c r="A21" s="3"/>
      <x:c r="B21" s="3"/>
      <x:c r="C21" s="3"/>
      <x:c r="D21" s="3"/>
      <x:c r="E21" s="3"/>
      <x:c r="F21" s="3"/>
      <x:c r="G21" s="3"/>
      <x:c r="H21" s="3"/>
      <x:c r="I21" s="3"/>
      <x:c r="J21" s="3"/>
      <x:c r="K21" s="3"/>
      <x:c r="L21" s="3"/>
      <x:c r="M21" s="3"/>
    </x:row>
    <x:row r="22" ht="23" customHeight="1">
      <x:c r="A22" s="3"/>
      <x:c r="B22" s="3"/>
      <x:c r="C22" s="3"/>
      <x:c r="D22" s="3"/>
      <x:c r="E22" s="3"/>
      <x:c r="F22" s="3"/>
      <x:c r="G22" s="3"/>
      <x:c r="H22" s="3"/>
      <x:c r="I22" s="3"/>
      <x:c r="J22" s="3"/>
      <x:c r="K22" s="3"/>
      <x:c r="L22" s="3"/>
      <x:c r="M22" s="3"/>
    </x:row>
    <x:row r="23" ht="23" customHeight="1">
      <x:c r="A23" s="3"/>
      <x:c r="B23" s="3"/>
      <x:c r="C23" s="3"/>
      <x:c r="D23" s="3"/>
      <x:c r="E23" s="3"/>
      <x:c r="F23" s="3"/>
      <x:c r="G23" s="3"/>
      <x:c r="H23" s="3"/>
      <x:c r="I23" s="3"/>
      <x:c r="J23" s="3"/>
      <x:c r="K23" s="3"/>
      <x:c r="L23" s="3"/>
      <x:c r="M23" s="3"/>
    </x:row>
    <x:row r="24" ht="23" customHeight="1">
      <x:c r="A24" s="3"/>
      <x:c r="B24" s="3"/>
      <x:c r="C24" s="3"/>
      <x:c r="D24" s="3"/>
      <x:c r="E24" s="3"/>
      <x:c r="F24" s="3"/>
      <x:c r="G24" s="3"/>
      <x:c r="H24" s="3"/>
      <x:c r="I24" s="3"/>
      <x:c r="J24" s="3"/>
      <x:c r="K24" s="3"/>
      <x:c r="L24" s="3"/>
      <x:c r="M24" s="3"/>
    </x:row>
    <x:row r="25" ht="23" customHeight="1">
      <x:c r="A25" s="3"/>
      <x:c r="B25" s="3"/>
      <x:c r="C25" s="3"/>
      <x:c r="D25" s="3"/>
      <x:c r="E25" s="3"/>
      <x:c r="F25" s="3"/>
      <x:c r="G25" s="3"/>
      <x:c r="H25" s="3"/>
      <x:c r="I25" s="3"/>
      <x:c r="J25" s="3"/>
      <x:c r="K25" s="3"/>
      <x:c r="L25" s="3"/>
      <x:c r="M25" s="3"/>
    </x:row>
    <x:row r="26" ht="23" customHeight="1">
      <x:c r="A26" s="3"/>
      <x:c r="B26" s="3"/>
      <x:c r="C26" s="3"/>
      <x:c r="D26" s="3"/>
      <x:c r="E26" s="3"/>
      <x:c r="F26" s="3"/>
      <x:c r="G26" s="3"/>
      <x:c r="H26" s="3"/>
      <x:c r="I26" s="3"/>
      <x:c r="J26" s="3"/>
      <x:c r="K26" s="3"/>
      <x:c r="L26" s="3"/>
      <x:c r="M26" s="3"/>
    </x:row>
    <x:row r="27" ht="23" customHeight="1">
      <x:c r="A27" s="3"/>
      <x:c r="B27" s="3"/>
      <x:c r="C27" s="3"/>
      <x:c r="D27" s="3"/>
      <x:c r="E27" s="3"/>
      <x:c r="F27" s="3"/>
      <x:c r="G27" s="3"/>
      <x:c r="H27" s="3"/>
      <x:c r="I27" s="3"/>
      <x:c r="J27" s="3"/>
      <x:c r="K27" s="3"/>
      <x:c r="L27" s="3"/>
      <x:c r="M27" s="3"/>
    </x:row>
    <x:row r="28" ht="23" customHeight="1">
      <x:c r="A28" s="3"/>
      <x:c r="B28" s="3"/>
      <x:c r="C28" s="3"/>
      <x:c r="D28" s="3"/>
      <x:c r="E28" s="3"/>
      <x:c r="F28" s="3"/>
      <x:c r="G28" s="3"/>
      <x:c r="H28" s="3"/>
      <x:c r="I28" s="3"/>
      <x:c r="J28" s="3"/>
      <x:c r="K28" s="3"/>
      <x:c r="L28" s="3"/>
      <x:c r="M28" s="3"/>
    </x:row>
    <x:row r="29" ht="23" customHeight="1">
      <x:c r="A29" s="3"/>
      <x:c r="B29" s="3"/>
      <x:c r="C29" s="3"/>
      <x:c r="D29" s="3"/>
      <x:c r="E29" s="3"/>
      <x:c r="F29" s="3"/>
      <x:c r="G29" s="3"/>
      <x:c r="H29" s="3"/>
      <x:c r="I29" s="3"/>
      <x:c r="J29" s="3"/>
      <x:c r="K29" s="3"/>
      <x:c r="L29" s="3"/>
      <x:c r="M29" s="3"/>
    </x:row>
    <x:row r="30" ht="23" customHeight="1">
      <x:c r="A30" s="3"/>
      <x:c r="B30" s="3"/>
      <x:c r="C30" s="3"/>
      <x:c r="D30" s="3"/>
      <x:c r="E30" s="3"/>
      <x:c r="F30" s="3"/>
      <x:c r="G30" s="3"/>
      <x:c r="H30" s="3"/>
      <x:c r="I30" s="3"/>
      <x:c r="J30" s="3"/>
      <x:c r="K30" s="3"/>
      <x:c r="L30" s="3"/>
      <x:c r="M30" s="3"/>
    </x:row>
    <x:row r="31" ht="23" customHeight="1">
      <x:c r="A31" s="3"/>
      <x:c r="B31" s="3"/>
      <x:c r="C31" s="3"/>
      <x:c r="D31" s="3"/>
      <x:c r="E31" s="3"/>
      <x:c r="F31" s="3"/>
      <x:c r="G31" s="3"/>
      <x:c r="H31" s="3"/>
      <x:c r="I31" s="3"/>
      <x:c r="J31" s="3"/>
      <x:c r="K31" s="3"/>
      <x:c r="L31" s="3"/>
      <x:c r="M31" s="3"/>
    </x:row>
    <x:row r="32" ht="23" customHeight="1">
      <x:c r="A32" s="3"/>
      <x:c r="B32" s="3"/>
      <x:c r="C32" s="3"/>
      <x:c r="D32" s="3"/>
      <x:c r="E32" s="3"/>
      <x:c r="F32" s="3"/>
      <x:c r="G32" s="3"/>
      <x:c r="H32" s="3"/>
      <x:c r="I32" s="3"/>
      <x:c r="J32" s="3"/>
      <x:c r="K32" s="3"/>
      <x:c r="L32" s="3"/>
      <x:c r="M32" s="3"/>
    </x:row>
    <x:row r="33" ht="23" customHeight="1">
      <x:c r="A33" s="3"/>
      <x:c r="B33" s="3"/>
      <x:c r="C33" s="3"/>
      <x:c r="D33" s="3"/>
      <x:c r="E33" s="3"/>
      <x:c r="F33" s="3"/>
      <x:c r="G33" s="3"/>
      <x:c r="H33" s="3"/>
      <x:c r="I33" s="3"/>
      <x:c r="J33" s="3"/>
      <x:c r="K33" s="3"/>
      <x:c r="L33" s="3"/>
      <x:c r="M33" s="3"/>
    </x:row>
    <x:row r="34" ht="23" customHeight="1">
      <x:c r="A34" s="3"/>
      <x:c r="B34" s="3"/>
      <x:c r="C34" s="3"/>
      <x:c r="D34" s="3"/>
      <x:c r="E34" s="3"/>
      <x:c r="F34" s="3"/>
      <x:c r="G34" s="3"/>
      <x:c r="H34" s="3"/>
      <x:c r="I34" s="3"/>
      <x:c r="J34" s="3"/>
      <x:c r="K34" s="3"/>
      <x:c r="L34" s="3"/>
      <x:c r="M34" s="3"/>
    </x:row>
    <x:row r="35" ht="23" customHeight="1">
      <x:c r="A35" s="3"/>
      <x:c r="B35" s="3"/>
      <x:c r="C35" s="3"/>
      <x:c r="D35" s="3"/>
      <x:c r="E35" s="3"/>
      <x:c r="F35" s="3"/>
      <x:c r="G35" s="3"/>
      <x:c r="H35" s="3"/>
      <x:c r="I35" s="3"/>
      <x:c r="J35" s="3"/>
      <x:c r="K35" s="3"/>
      <x:c r="L35" s="3"/>
      <x:c r="M35" s="3"/>
    </x:row>
    <x:row r="36" ht="23" customHeight="1">
      <x:c r="A36" s="3"/>
      <x:c r="B36" s="3"/>
      <x:c r="C36" s="3"/>
      <x:c r="D36" s="3"/>
      <x:c r="E36" s="3"/>
      <x:c r="F36" s="3"/>
      <x:c r="G36" s="3"/>
      <x:c r="H36" s="3"/>
      <x:c r="I36" s="3"/>
      <x:c r="J36" s="3"/>
      <x:c r="K36" s="3"/>
      <x:c r="L36" s="3"/>
      <x:c r="M36" s="3"/>
    </x:row>
    <x:row r="37" ht="23" customHeight="1">
      <x:c r="A37" s="3"/>
      <x:c r="B37" s="3"/>
      <x:c r="C37" s="3"/>
      <x:c r="D37" s="3"/>
      <x:c r="E37" s="3"/>
      <x:c r="F37" s="3"/>
      <x:c r="G37" s="3"/>
      <x:c r="H37" s="3"/>
      <x:c r="I37" s="3"/>
      <x:c r="J37" s="3"/>
      <x:c r="K37" s="3"/>
      <x:c r="L37" s="3"/>
      <x:c r="M37" s="3"/>
    </x:row>
    <x:row r="38" ht="23" customHeight="1">
      <x:c r="A38" s="3"/>
      <x:c r="B38" s="3"/>
      <x:c r="C38" s="3"/>
      <x:c r="D38" s="3"/>
      <x:c r="E38" s="3"/>
      <x:c r="F38" s="3"/>
      <x:c r="G38" s="3"/>
      <x:c r="H38" s="3"/>
      <x:c r="I38" s="3"/>
      <x:c r="J38" s="3"/>
      <x:c r="K38" s="3"/>
      <x:c r="L38" s="3"/>
      <x:c r="M38" s="3"/>
    </x:row>
    <x:row r="39" ht="23" customHeight="1">
      <x:c r="A39" s="3"/>
      <x:c r="B39" s="3"/>
      <x:c r="C39" s="3"/>
      <x:c r="D39" s="3"/>
      <x:c r="E39" s="3"/>
      <x:c r="F39" s="3"/>
      <x:c r="G39" s="3"/>
      <x:c r="H39" s="3"/>
      <x:c r="I39" s="3"/>
      <x:c r="J39" s="3"/>
      <x:c r="K39" s="3"/>
      <x:c r="L39" s="3"/>
      <x:c r="M39" s="3"/>
    </x:row>
    <x:row r="40" ht="23" customHeight="1">
      <x:c r="A40" s="3"/>
      <x:c r="B40" s="3"/>
      <x:c r="C40" s="3"/>
      <x:c r="D40" s="3"/>
      <x:c r="E40" s="3"/>
      <x:c r="F40" s="3"/>
      <x:c r="G40" s="3"/>
      <x:c r="H40" s="3"/>
      <x:c r="I40" s="3"/>
      <x:c r="J40" s="3"/>
      <x:c r="K40" s="3"/>
      <x:c r="L40" s="3"/>
      <x:c r="M40" s="3"/>
    </x:row>
    <x:row r="41" ht="23" customHeight="1">
      <x:c r="A41" s="3"/>
      <x:c r="B41" s="3"/>
      <x:c r="C41" s="3"/>
      <x:c r="D41" s="3"/>
      <x:c r="E41" s="3"/>
      <x:c r="F41" s="3"/>
      <x:c r="G41" s="3"/>
      <x:c r="H41" s="3"/>
      <x:c r="I41" s="3"/>
      <x:c r="J41" s="3"/>
      <x:c r="K41" s="3"/>
      <x:c r="L41" s="3"/>
      <x:c r="M41" s="3"/>
    </x:row>
    <x:row r="42" ht="23" customHeight="1">
      <x:c r="A42" s="3"/>
      <x:c r="B42" s="3"/>
      <x:c r="C42" s="3"/>
      <x:c r="D42" s="3"/>
      <x:c r="E42" s="3"/>
      <x:c r="F42" s="3"/>
      <x:c r="G42" s="3"/>
      <x:c r="H42" s="3"/>
      <x:c r="I42" s="3"/>
      <x:c r="J42" s="3"/>
      <x:c r="K42" s="3"/>
      <x:c r="L42" s="3"/>
      <x:c r="M42" s="3"/>
    </x:row>
    <x:row r="43" ht="23" customHeight="1">
      <x:c r="A43" s="3"/>
      <x:c r="B43" s="3"/>
      <x:c r="C43" s="3"/>
      <x:c r="D43" s="3"/>
      <x:c r="E43" s="3"/>
      <x:c r="F43" s="3"/>
      <x:c r="G43" s="3"/>
      <x:c r="H43" s="3"/>
      <x:c r="I43" s="3"/>
      <x:c r="J43" s="3"/>
      <x:c r="K43" s="3"/>
      <x:c r="L43" s="3"/>
      <x:c r="M43" s="3"/>
    </x:row>
    <x:row r="44" ht="23" customHeight="1">
      <x:c r="A44" s="3"/>
      <x:c r="B44" s="3"/>
      <x:c r="C44" s="3"/>
      <x:c r="D44" s="3"/>
      <x:c r="E44" s="3"/>
      <x:c r="F44" s="3"/>
      <x:c r="G44" s="3"/>
      <x:c r="H44" s="3"/>
      <x:c r="I44" s="3"/>
      <x:c r="J44" s="3"/>
      <x:c r="K44" s="3"/>
      <x:c r="L44" s="3"/>
      <x:c r="M44" s="3"/>
    </x:row>
    <x:row r="45" ht="23" customHeight="1">
      <x:c r="A45" s="3"/>
      <x:c r="B45" s="3"/>
      <x:c r="C45" s="3"/>
      <x:c r="D45" s="3"/>
      <x:c r="E45" s="3"/>
      <x:c r="F45" s="3"/>
      <x:c r="G45" s="3"/>
      <x:c r="H45" s="3"/>
      <x:c r="I45" s="3"/>
      <x:c r="J45" s="3"/>
      <x:c r="K45" s="3"/>
      <x:c r="L45" s="3"/>
      <x:c r="M45" s="3"/>
    </x:row>
    <x:row r="46" ht="23" customHeight="1">
      <x:c r="A46" s="3"/>
      <x:c r="B46" s="3"/>
      <x:c r="C46" s="3"/>
      <x:c r="D46" s="3"/>
      <x:c r="E46" s="3"/>
      <x:c r="F46" s="3"/>
      <x:c r="G46" s="3"/>
      <x:c r="H46" s="3"/>
      <x:c r="I46" s="3"/>
      <x:c r="J46" s="3"/>
      <x:c r="K46" s="3"/>
      <x:c r="L46" s="3"/>
      <x:c r="M46" s="3"/>
    </x:row>
    <x:row r="47" ht="23" customHeight="1">
      <x:c r="A47" s="3"/>
      <x:c r="B47" s="3"/>
      <x:c r="C47" s="3"/>
      <x:c r="D47" s="3"/>
      <x:c r="E47" s="3"/>
      <x:c r="F47" s="3"/>
      <x:c r="G47" s="3"/>
      <x:c r="H47" s="3"/>
      <x:c r="I47" s="3"/>
      <x:c r="J47" s="3"/>
      <x:c r="K47" s="3"/>
      <x:c r="L47" s="3"/>
      <x:c r="M47" s="3"/>
    </x:row>
    <x:row r="48" ht="23" customHeight="1">
      <x:c r="A48" s="3"/>
      <x:c r="B48" s="3"/>
      <x:c r="C48" s="3"/>
      <x:c r="D48" s="3"/>
      <x:c r="E48" s="3"/>
      <x:c r="F48" s="3"/>
      <x:c r="G48" s="3"/>
      <x:c r="H48" s="3"/>
      <x:c r="I48" s="3"/>
      <x:c r="J48" s="3"/>
      <x:c r="K48" s="3"/>
      <x:c r="L48" s="3"/>
      <x:c r="M48" s="3"/>
    </x:row>
    <x:row r="49" ht="23" customHeight="1">
      <x:c r="A49" s="3"/>
      <x:c r="B49" s="3"/>
      <x:c r="C49" s="3"/>
      <x:c r="D49" s="3"/>
      <x:c r="E49" s="3"/>
      <x:c r="F49" s="3"/>
      <x:c r="G49" s="3"/>
      <x:c r="H49" s="3"/>
      <x:c r="I49" s="3"/>
      <x:c r="J49" s="3"/>
      <x:c r="K49" s="3"/>
      <x:c r="L49" s="3"/>
      <x:c r="M49" s="3"/>
    </x:row>
    <x:row r="50" ht="23" customHeight="1">
      <x:c r="A50" s="3"/>
      <x:c r="B50" s="3"/>
      <x:c r="C50" s="3"/>
      <x:c r="D50" s="3"/>
      <x:c r="E50" s="3"/>
      <x:c r="F50" s="3"/>
      <x:c r="G50" s="3"/>
      <x:c r="H50" s="3"/>
      <x:c r="I50" s="3"/>
      <x:c r="J50" s="3"/>
      <x:c r="K50" s="3"/>
      <x:c r="L50" s="3"/>
      <x:c r="M50" s="3"/>
    </x:row>
    <x:row r="51" ht="23" customHeight="1">
      <x:c r="A51" s="3"/>
      <x:c r="B51" s="3"/>
      <x:c r="C51" s="3"/>
      <x:c r="D51" s="3"/>
      <x:c r="E51" s="3"/>
      <x:c r="F51" s="3"/>
      <x:c r="G51" s="3"/>
      <x:c r="H51" s="3"/>
      <x:c r="I51" s="3"/>
      <x:c r="J51" s="3"/>
      <x:c r="K51" s="3"/>
      <x:c r="L51" s="3"/>
      <x:c r="M51" s="3"/>
    </x:row>
    <x:row r="52" ht="23" customHeight="1">
      <x:c r="A52" s="3"/>
      <x:c r="B52" s="3"/>
      <x:c r="C52" s="3"/>
      <x:c r="D52" s="3"/>
      <x:c r="E52" s="3"/>
      <x:c r="F52" s="3"/>
      <x:c r="G52" s="3"/>
      <x:c r="H52" s="3"/>
      <x:c r="I52" s="3"/>
      <x:c r="J52" s="3"/>
      <x:c r="K52" s="3"/>
      <x:c r="L52" s="3"/>
      <x:c r="M52" s="3"/>
    </x:row>
    <x:row r="53" ht="23" customHeight="1">
      <x:c r="A53" s="3"/>
      <x:c r="B53" s="3"/>
      <x:c r="C53" s="3"/>
      <x:c r="D53" s="3"/>
      <x:c r="E53" s="3"/>
      <x:c r="F53" s="3"/>
      <x:c r="G53" s="3"/>
      <x:c r="H53" s="3"/>
      <x:c r="I53" s="3"/>
      <x:c r="J53" s="3"/>
      <x:c r="K53" s="3"/>
      <x:c r="L53" s="3"/>
      <x:c r="M53" s="3"/>
    </x:row>
    <x:row r="54" ht="23" customHeight="1">
      <x:c r="A54" s="3"/>
      <x:c r="B54" s="3"/>
      <x:c r="C54" s="3"/>
      <x:c r="D54" s="3"/>
      <x:c r="E54" s="3"/>
      <x:c r="F54" s="3"/>
      <x:c r="G54" s="3"/>
      <x:c r="H54" s="3"/>
      <x:c r="I54" s="3"/>
      <x:c r="J54" s="3"/>
      <x:c r="K54" s="3"/>
      <x:c r="L54" s="3"/>
      <x:c r="M54" s="3"/>
    </x:row>
    <x:row r="55" ht="23" customHeight="1">
      <x:c r="A55" s="3"/>
      <x:c r="B55" s="3"/>
      <x:c r="C55" s="3"/>
      <x:c r="D55" s="3"/>
      <x:c r="E55" s="3"/>
      <x:c r="F55" s="3"/>
      <x:c r="G55" s="3"/>
      <x:c r="H55" s="3"/>
      <x:c r="I55" s="3"/>
      <x:c r="J55" s="3"/>
      <x:c r="K55" s="3"/>
      <x:c r="L55" s="3"/>
      <x:c r="M55" s="3"/>
    </x:row>
    <x:row r="56" ht="23" customHeight="1">
      <x:c r="A56" s="3"/>
      <x:c r="B56" s="3"/>
      <x:c r="C56" s="3"/>
      <x:c r="D56" s="3"/>
      <x:c r="E56" s="3"/>
      <x:c r="F56" s="3"/>
      <x:c r="G56" s="3"/>
      <x:c r="H56" s="3"/>
      <x:c r="I56" s="3"/>
      <x:c r="J56" s="3"/>
      <x:c r="K56" s="3"/>
      <x:c r="L56" s="3"/>
      <x:c r="M56" s="3"/>
    </x:row>
    <x:row r="57" ht="23" customHeight="1">
      <x:c r="A57" s="3"/>
      <x:c r="B57" s="3"/>
      <x:c r="C57" s="3"/>
      <x:c r="D57" s="3"/>
      <x:c r="E57" s="3"/>
      <x:c r="F57" s="3"/>
      <x:c r="G57" s="3"/>
      <x:c r="H57" s="3"/>
      <x:c r="I57" s="3"/>
      <x:c r="J57" s="3"/>
      <x:c r="K57" s="3"/>
      <x:c r="L57" s="3"/>
      <x:c r="M57" s="3"/>
    </x:row>
    <x:row r="58" ht="23" customHeight="1">
      <x:c r="A58" s="3"/>
      <x:c r="B58" s="3"/>
      <x:c r="C58" s="3"/>
      <x:c r="D58" s="3"/>
      <x:c r="E58" s="3"/>
      <x:c r="F58" s="3"/>
      <x:c r="G58" s="3"/>
      <x:c r="H58" s="3"/>
      <x:c r="I58" s="3"/>
      <x:c r="J58" s="3"/>
      <x:c r="K58" s="3"/>
      <x:c r="L58" s="3"/>
      <x:c r="M58" s="3"/>
    </x:row>
    <x:row r="59" ht="23" customHeight="1">
      <x:c r="A59" s="3"/>
      <x:c r="B59" s="3"/>
      <x:c r="C59" s="3"/>
      <x:c r="D59" s="3"/>
      <x:c r="E59" s="3"/>
      <x:c r="F59" s="3"/>
      <x:c r="G59" s="3"/>
      <x:c r="H59" s="3"/>
      <x:c r="I59" s="3"/>
      <x:c r="J59" s="3"/>
      <x:c r="K59" s="3"/>
      <x:c r="L59" s="3"/>
      <x:c r="M59" s="3"/>
    </x:row>
    <x:row r="60" ht="23" customHeight="1">
      <x:c r="A60" s="3"/>
      <x:c r="B60" s="3"/>
      <x:c r="C60" s="3"/>
      <x:c r="D60" s="3"/>
      <x:c r="E60" s="3"/>
      <x:c r="F60" s="3"/>
      <x:c r="G60" s="3"/>
      <x:c r="H60" s="3"/>
      <x:c r="I60" s="3"/>
      <x:c r="J60" s="3"/>
      <x:c r="K60" s="3"/>
      <x:c r="L60" s="3"/>
      <x:c r="M60" s="3"/>
    </x:row>
    <x:row r="61" ht="23" customHeight="1">
      <x:c r="A61" s="3"/>
      <x:c r="B61" s="3"/>
      <x:c r="C61" s="3"/>
      <x:c r="D61" s="3"/>
      <x:c r="E61" s="3"/>
      <x:c r="F61" s="3"/>
      <x:c r="G61" s="3"/>
      <x:c r="H61" s="3"/>
      <x:c r="I61" s="3"/>
      <x:c r="J61" s="3"/>
      <x:c r="K61" s="3"/>
      <x:c r="L61" s="3"/>
      <x:c r="M61" s="3"/>
    </x:row>
    <x:row r="62" ht="23" customHeight="1">
      <x:c r="A62" s="3"/>
      <x:c r="B62" s="3"/>
      <x:c r="C62" s="3"/>
      <x:c r="D62" s="3"/>
      <x:c r="E62" s="3"/>
      <x:c r="F62" s="3"/>
      <x:c r="G62" s="3"/>
      <x:c r="H62" s="3"/>
      <x:c r="I62" s="3"/>
      <x:c r="J62" s="3"/>
      <x:c r="K62" s="3"/>
      <x:c r="L62" s="3"/>
      <x:c r="M62" s="3"/>
    </x:row>
    <x:row r="63" ht="23" customHeight="1">
      <x:c r="A63" s="3"/>
      <x:c r="B63" s="3"/>
      <x:c r="C63" s="3"/>
      <x:c r="D63" s="3"/>
      <x:c r="E63" s="3"/>
      <x:c r="F63" s="3"/>
      <x:c r="G63" s="3"/>
      <x:c r="H63" s="3"/>
      <x:c r="I63" s="3"/>
      <x:c r="J63" s="3"/>
      <x:c r="K63" s="3"/>
      <x:c r="L63" s="3"/>
      <x:c r="M63" s="3"/>
    </x:row>
    <x:row r="64" ht="23" customHeight="1">
      <x:c r="A64" s="3"/>
      <x:c r="B64" s="3"/>
      <x:c r="C64" s="3"/>
      <x:c r="D64" s="3"/>
      <x:c r="E64" s="3"/>
      <x:c r="F64" s="3"/>
      <x:c r="G64" s="3"/>
      <x:c r="H64" s="3"/>
      <x:c r="I64" s="3"/>
      <x:c r="J64" s="3"/>
      <x:c r="K64" s="3"/>
      <x:c r="L64" s="3"/>
      <x:c r="M64" s="3"/>
    </x:row>
    <x:row r="65" ht="23" customHeight="1">
      <x:c r="A65" s="3"/>
      <x:c r="B65" s="3"/>
      <x:c r="C65" s="3"/>
      <x:c r="D65" s="3"/>
      <x:c r="E65" s="3"/>
      <x:c r="F65" s="3"/>
      <x:c r="G65" s="3"/>
      <x:c r="H65" s="3"/>
      <x:c r="I65" s="3"/>
      <x:c r="J65" s="3"/>
      <x:c r="K65" s="3"/>
      <x:c r="L65" s="3"/>
      <x:c r="M65" s="3"/>
    </x:row>
  </x:sheetData>
  <x:mergeCells>
    <x:mergeCell ref="A1:E2"/>
    <x:mergeCell ref="A3:E3"/>
  </x:mergeCells>
  <x:pageMargins left="0.7" right="0.7" top="0.75" bottom="0.75" header="0.3" footer="0.3"/>
</x:worksheet>
</file>